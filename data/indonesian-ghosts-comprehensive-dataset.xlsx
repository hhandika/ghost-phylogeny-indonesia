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hosts" sheetId="2" state="visible" r:id="rId2"/>
    <sheet xmlns:r="http://schemas.openxmlformats.org/officeDocument/2006/relationships" name="Trait_Matrix" sheetId="3" state="visible" r:id="rId3"/>
    <sheet xmlns:r="http://schemas.openxmlformats.org/officeDocument/2006/relationships" name="Summary_by_Island" sheetId="4" state="visible" r:id="rId4"/>
    <sheet xmlns:r="http://schemas.openxmlformats.org/officeDocument/2006/relationships" name="Summary_by_Clade" sheetId="5" state="visible" r:id="rId5"/>
    <sheet xmlns:r="http://schemas.openxmlformats.org/officeDocument/2006/relationships" name="Phylogeny" sheetId="6" state="visible" r:id="rId6"/>
  </sheets>
  <definedNames>
    <definedName name="_xlnm._FilterDatabase" localSheetId="1" hidden="1">'Ghosts'!$A$1:$AH$1</definedName>
    <definedName name="_xlnm.Print_Titles" localSheetId="1">'Ghosts'!$1:$1</definedName>
    <definedName name="_xlnm._FilterDatabase" localSheetId="2" hidden="1">'Trait_Matrix'!$A$1:$U$1</definedName>
    <definedName name="_xlnm._FilterDatabase" localSheetId="3" hidden="1">'Summary_by_Island'!$A$1:$C$1</definedName>
    <definedName name="_xlnm._FilterDatabase" localSheetId="4" hidden="1">'Summary_by_Clade'!$A$1:$C$1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1B2A4E"/>
      <sz val="16"/>
    </font>
    <font>
      <b val="1"/>
      <color rgb="000E7C7B"/>
      <sz val="12"/>
    </font>
    <font>
      <color rgb="00000000"/>
      <sz val="11"/>
    </font>
    <font>
      <b val="1"/>
      <color rgb="00FFFFFF"/>
      <sz val="10"/>
    </font>
    <font>
      <sz val="10"/>
    </font>
    <font>
      <b val="1"/>
    </font>
    <font>
      <b val="1"/>
      <color rgb="000E7C7B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2A4E"/>
      </patternFill>
    </fill>
    <fill>
      <patternFill patternType="solid">
        <fgColor rgb="00F4F8F8"/>
      </patternFill>
    </fill>
    <fill>
      <patternFill patternType="solid">
        <fgColor rgb="00BFE3DD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by Island_Region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'Summary_by_Island'!B1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'Summary_by_Island'!$A$2:$A$24</f>
            </numRef>
          </cat>
          <val>
            <numRef>
              <f>'Summary_by_Island'!$B$2:$B$24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 by Clade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'Summary_by_Clade'!B1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'Summary_by_Clade'!$A$2:$A$15</f>
            </numRef>
          </cat>
          <val>
            <numRef>
              <f>'Summary_by_Clade'!$B$2:$B$15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4" customHeight="1">
      <c r="A1" s="1" t="inlineStr">
        <is>
          <t>Indonesian Ghosts — Comprehensive Dataset (v3)</t>
        </is>
      </c>
    </row>
    <row r="2" ht="28" customHeight="1">
      <c r="A2" s="2" t="inlineStr">
        <is>
          <t>What this is</t>
        </is>
      </c>
    </row>
    <row r="3" ht="28" customHeight="1">
      <c r="A3" s="3" t="inlineStr">
        <is>
          <t>A comparative, phylogenetics-style catalogue of Indonesian ghost / spirit taxa, expanded from the two user-supplied matrices (indonesian_ghosts.csv and indonesian_ghosts_revised.csv). Each row is treated like a taxon: clade, morphology, diet, behaviour, deterrents, and an 18-trait coded matrix.</t>
        </is>
      </c>
    </row>
    <row r="4" ht="28" customHeight="1">
      <c r="A4" s="2" t="inlineStr">
        <is>
          <t>What changed in v3</t>
        </is>
      </c>
    </row>
    <row r="5" ht="28" customHeight="1">
      <c r="A5" s="3" t="inlineStr">
        <is>
          <t>• Taxa: 61 → 110 rows (all 61 original taxa kept; 49 expansion taxa added, including Pontianak, Kuntilanak Merah, Nyai Blorong, Calon Arang, Orang Bunian, Parakang, Jin Qarin, Preta, and outgroups Aswang, Tikbalang, Phi Tai Hong and Churel).</t>
        </is>
      </c>
    </row>
    <row r="6" ht="28" customHeight="1">
      <c r="A6" s="3" t="inlineStr">
        <is>
          <t>• Trait-matrix completeness: 37.4% coded in the revised source file (62.6% of cells were '?') → 100% coded in v3, because every '?' was filled on a best-effort folklore-synthesis basis. Filled rows are flagged in Inferred_Coding — treat those codings as synthesis, NOT primary ethnography.</t>
        </is>
      </c>
    </row>
    <row r="7" ht="28" customHeight="1">
      <c r="A7" s="3" t="inlineStr">
        <is>
          <t>• New fields added: Name, Island_Region, Ethnic_Cultural_Origin, Danger_Level_1_5, Origin_Story, Appearance, Pop_Culture_Notes, Status_Ingroup_Outgroup, Sampled_In_Phylogeny, and Inferred_Coding.</t>
        </is>
      </c>
    </row>
    <row r="8" ht="28" customHeight="1">
      <c r="A8" s="3" t="inlineStr">
        <is>
          <t>• New sheets: Summary_by_Island and Summary_by_Clade (counts with charts — the graphics), Trait_Matrix (the 18-trait matrix on its own), and Phylogeny (IQ-TREE summary).</t>
        </is>
      </c>
    </row>
    <row r="9" ht="28" customHeight="1">
      <c r="A9" s="3" t="inlineStr">
        <is>
          <t>• Interactive companion: 'Indonesian Ghosts Explorer.html' in the same folder — search, filter by island / clade / danger, sort, and open a detail card for every taxon. It works offline in a browser.</t>
        </is>
      </c>
    </row>
    <row r="10" ht="28" customHeight="1">
      <c r="A10" s="2" t="inlineStr">
        <is>
          <t>Phylogeny — read this before using the tree</t>
        </is>
      </c>
    </row>
    <row r="11" ht="28" customHeight="1">
      <c r="A11" s="3" t="inlineStr">
        <is>
          <t>The IQ-TREE consensus tree samples ONLY the original 61 taxa. In the main dataset those rows read 'Yes — tip in 61-taxon IQ-TREE' in Sampled_In_Phylogeny. Every expansion taxon reads 'No — incertae sedis / not yet sampled'. No placement has been invented for any new taxon.</t>
        </is>
      </c>
    </row>
    <row r="12" ht="28" customHeight="1">
      <c r="A12" s="2" t="inlineStr">
        <is>
          <t>How to read the trait matrix</t>
        </is>
      </c>
    </row>
    <row r="13" ht="28" customHeight="1">
      <c r="A13" s="3" t="inlineStr">
        <is>
          <t>Traits are coded 0 = absent / no, 1 = present / yes, 2 = not applicable / variable or (for sex) male / unspecified, following the source file's convention as closely as the data allow. Sex: 1 = female-coded, 2 = male / unspecified / variable in the source coding. Always check Inferred_Coding before citing a cell.</t>
        </is>
      </c>
    </row>
    <row r="14" ht="28" customHeight="1">
      <c r="A14" s="2" t="inlineStr">
        <is>
          <t>Danger_Level_1_5</t>
        </is>
      </c>
    </row>
    <row r="15" ht="28" customHeight="1">
      <c r="A15" s="3" t="inlineStr">
        <is>
          <t>1 = benign / guardian, 2 = unsettling, 3 = frightening or harmful in some tales, 4 = dangerous, 5 = lethal / predatory in the dominant telling. This is an editorial synthesis scale for comparison and filtering, not a traditional category.</t>
        </is>
      </c>
    </row>
    <row r="16" ht="28" customHeight="1">
      <c r="A16" s="2" t="inlineStr">
        <is>
          <t>Caveats</t>
        </is>
      </c>
    </row>
    <row r="17" ht="28" customHeight="1">
      <c r="A17" s="3" t="inlineStr">
        <is>
          <t>Folklore varies by village, ethnic group and teller; a single row cannot capture that variation. Origin stories here are one-paragraph motif summaries. Verify any entry against primary ethnographic sources before academic citation.</t>
        </is>
      </c>
    </row>
  </sheetData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6" customWidth="1" min="4" max="4"/>
    <col width="24" customWidth="1" min="5" max="5"/>
    <col width="26" customWidth="1" min="6" max="6"/>
    <col width="20" customWidth="1" min="7" max="7"/>
    <col width="11" customWidth="1" min="8" max="8"/>
    <col width="52" customWidth="1" min="9" max="9"/>
    <col width="36" customWidth="1" min="10" max="10"/>
    <col width="36" customWidth="1" min="11" max="11"/>
    <col width="32" customWidth="1" min="12" max="12"/>
    <col width="36" customWidth="1" min="13" max="13"/>
    <col width="14" customWidth="1" min="14" max="14"/>
    <col width="26" customWidth="1" min="15" max="15"/>
    <col width="30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 ht="34" customHeight="1">
      <c r="A1" s="4" t="inlineStr">
        <is>
          <t>Name</t>
        </is>
      </c>
      <c r="B1" s="4" t="inlineStr">
        <is>
          <t>Taxon_ID</t>
        </is>
      </c>
      <c r="C1" s="4" t="inlineStr">
        <is>
          <t>Island_Region</t>
        </is>
      </c>
      <c r="D1" s="4" t="inlineStr">
        <is>
          <t>Ethnic_Cultural_Origin</t>
        </is>
      </c>
      <c r="E1" s="4" t="inlineStr">
        <is>
          <t>Clade</t>
        </is>
      </c>
      <c r="F1" s="4" t="inlineStr">
        <is>
          <t>Morphology</t>
        </is>
      </c>
      <c r="G1" s="4" t="inlineStr">
        <is>
          <t>Diet</t>
        </is>
      </c>
      <c r="H1" s="4" t="inlineStr">
        <is>
          <t>Danger_Level_1_5</t>
        </is>
      </c>
      <c r="I1" s="4" t="inlineStr">
        <is>
          <t>Origin_Story</t>
        </is>
      </c>
      <c r="J1" s="4" t="inlineStr">
        <is>
          <t>Appearance</t>
        </is>
      </c>
      <c r="K1" s="4" t="inlineStr">
        <is>
          <t>Behavior</t>
        </is>
      </c>
      <c r="L1" s="4" t="inlineStr">
        <is>
          <t>Deterrents_Vulnerabilities</t>
        </is>
      </c>
      <c r="M1" s="4" t="inlineStr">
        <is>
          <t>Pop_Culture_Notes</t>
        </is>
      </c>
      <c r="N1" s="4" t="inlineStr">
        <is>
          <t>Status_Ingroup_Outgroup</t>
        </is>
      </c>
      <c r="O1" s="4" t="inlineStr">
        <is>
          <t>Sampled_In_Phylogeny</t>
        </is>
      </c>
      <c r="P1" s="4" t="inlineStr">
        <is>
          <t>Inferred_Coding</t>
        </is>
      </c>
      <c r="Q1" s="4" t="inlineStr">
        <is>
          <t>domain_human_like</t>
        </is>
      </c>
      <c r="R1" s="4" t="inlineStr">
        <is>
          <t>sex</t>
        </is>
      </c>
      <c r="S1" s="4" t="inlineStr">
        <is>
          <t>origin_death_birth</t>
        </is>
      </c>
      <c r="T1" s="4" t="inlineStr">
        <is>
          <t>corporeality</t>
        </is>
      </c>
      <c r="U1" s="4" t="inlineStr">
        <is>
          <t>locomotion_flight</t>
        </is>
      </c>
      <c r="V1" s="4" t="inlineStr">
        <is>
          <t>burial_association</t>
        </is>
      </c>
      <c r="W1" s="4" t="inlineStr">
        <is>
          <t>child_association</t>
        </is>
      </c>
      <c r="X1" s="4" t="inlineStr">
        <is>
          <t>predation_blood_organs</t>
        </is>
      </c>
      <c r="Y1" s="4" t="inlineStr">
        <is>
          <t>theft_mischief</t>
        </is>
      </c>
      <c r="Z1" s="4" t="inlineStr">
        <is>
          <t>body_hair_or_fur</t>
        </is>
      </c>
      <c r="AA1" s="4" t="inlineStr">
        <is>
          <t>animal_transformation</t>
        </is>
      </c>
      <c r="AB1" s="4" t="inlineStr">
        <is>
          <t>head_detachment</t>
        </is>
      </c>
      <c r="AC1" s="4" t="inlineStr">
        <is>
          <t>fire_luminosity</t>
        </is>
      </c>
      <c r="AD1" s="4" t="inlineStr">
        <is>
          <t>aquatic_association</t>
        </is>
      </c>
      <c r="AE1" s="4" t="inlineStr">
        <is>
          <t>forest_association</t>
        </is>
      </c>
      <c r="AF1" s="4" t="inlineStr">
        <is>
          <t>domestic_settlement</t>
        </is>
      </c>
      <c r="AG1" s="4" t="inlineStr">
        <is>
          <t>apotropaic_magic</t>
        </is>
      </c>
      <c r="AH1" s="4" t="inlineStr">
        <is>
          <t>southeast_asia_wide</t>
        </is>
      </c>
    </row>
    <row r="2" ht="52" customHeight="1">
      <c r="A2" s="5" t="inlineStr">
        <is>
          <t>Kuntilanak</t>
        </is>
      </c>
      <c r="B2" s="5" t="inlineStr">
        <is>
          <t>kuntilanak_indonesian_archipelago</t>
        </is>
      </c>
      <c r="C2" s="5" t="inlineStr">
        <is>
          <t>Indonesian Archipelago (widespread)</t>
        </is>
      </c>
      <c r="D2" s="5" t="inlineStr">
        <is>
          <t>Multi-ethnic Indonesian (widespread motif)</t>
        </is>
      </c>
      <c r="E2" s="5" t="inlineStr">
        <is>
          <t>Vengeful Female</t>
        </is>
      </c>
      <c r="F2" s="5" t="inlineStr">
        <is>
          <t>Spectral female</t>
        </is>
      </c>
      <c r="G2" s="5" t="inlineStr">
        <is>
          <t>Blood / fetuses</t>
        </is>
      </c>
      <c r="H2" s="5" t="n">
        <v>5</v>
      </c>
      <c r="I2" s="5" t="inlineStr">
        <is>
          <t>Folklore-synthesis summary: a vengeful female figure in Indonesian Archipelago (widespread) tradition; behaviour and origin motifs as coded in the source files. Treat as a comparative motif summary, not a single canonical tale — local variants differ by village and teller.</t>
        </is>
      </c>
      <c r="J2" s="5" t="inlineStr">
        <is>
          <t>Spectral female. See Morphology and trait matrix for coded features (hair/fur, head detachment, fire, flight).</t>
        </is>
      </c>
      <c r="K2" s="5" t="inlineStr">
        <is>
          <t>Echoing laughweeping</t>
        </is>
      </c>
      <c r="L2" s="5" t="inlineStr">
        <is>
          <t>Maternal mortality origin</t>
        </is>
      </c>
      <c r="M2" s="5" t="inlineStr">
        <is>
          <t>Recurring figure in Indonesian horror film, television, comics and oral storytelling; specific portrayals vary widely by medium and region.</t>
        </is>
      </c>
      <c r="N2" s="5" t="inlineStr">
        <is>
          <t>Ingroup</t>
        </is>
      </c>
      <c r="O2" s="5" t="inlineStr">
        <is>
          <t>Yes — tip in 61-taxon IQ-TREE</t>
        </is>
      </c>
      <c r="P2" s="5" t="inlineStr">
        <is>
          <t>YES — one or more '?' traits filled by folklore synthesis</t>
        </is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0</v>
      </c>
      <c r="V2" s="5" t="n">
        <v>0</v>
      </c>
      <c r="W2" s="5" t="n">
        <v>1</v>
      </c>
      <c r="X2" s="5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1</v>
      </c>
      <c r="AG2" s="5" t="n">
        <v>0</v>
      </c>
      <c r="AH2" s="5" t="n">
        <v>1</v>
      </c>
    </row>
    <row r="3" ht="52" customHeight="1">
      <c r="A3" s="6" t="inlineStr">
        <is>
          <t>Sundel Bolong Java</t>
        </is>
      </c>
      <c r="B3" s="6" t="inlineStr">
        <is>
          <t>sundel_bolong_java_indonesia</t>
        </is>
      </c>
      <c r="C3" s="6" t="inlineStr">
        <is>
          <t>Java</t>
        </is>
      </c>
      <c r="D3" s="6" t="inlineStr">
        <is>
          <t>Javanese</t>
        </is>
      </c>
      <c r="E3" s="6" t="inlineStr">
        <is>
          <t>Vengeful Female</t>
        </is>
      </c>
      <c r="F3" s="6" t="inlineStr">
        <is>
          <t>Spectral female</t>
        </is>
      </c>
      <c r="G3" s="6" t="inlineStr">
        <is>
          <t>Flesh / meat / fauna</t>
        </is>
      </c>
      <c r="H3" s="6" t="n">
        <v>4</v>
      </c>
      <c r="I3" s="6" t="inlineStr">
        <is>
          <t>Folklore-synthesis summary: a vengeful female figure in Java tradition; behaviour and origin motifs as coded in the source files. Treat as a comparative motif summary, not a single canonical tale — local variants differ by village and teller.</t>
        </is>
      </c>
      <c r="J3" s="6" t="inlineStr">
        <is>
          <t>Spectral female. See Morphology and trait matrix for coded features (hair/fur, head detachment, fire, flight).</t>
        </is>
      </c>
      <c r="K3" s="6" t="inlineStr">
        <is>
          <t>Conceals backpatriarchal revenge</t>
        </is>
      </c>
      <c r="L3" s="6" t="inlineStr">
        <is>
          <t>Sexual assault origin</t>
        </is>
      </c>
      <c r="M3" s="6" t="inlineStr">
        <is>
          <t>Recurring figure in Indonesian horror film, television, comics and oral storytelling; specific portrayals vary widely by medium and region.</t>
        </is>
      </c>
      <c r="N3" s="6" t="inlineStr">
        <is>
          <t>Ingroup</t>
        </is>
      </c>
      <c r="O3" s="6" t="inlineStr">
        <is>
          <t>Yes — tip in 61-taxon IQ-TREE</t>
        </is>
      </c>
      <c r="P3" s="6" t="inlineStr">
        <is>
          <t>No — coding as in source file</t>
        </is>
      </c>
      <c r="Q3" s="6" t="n">
        <v>1</v>
      </c>
      <c r="R3" s="6" t="n">
        <v>1</v>
      </c>
      <c r="S3" s="6" t="n">
        <v>1</v>
      </c>
      <c r="T3" s="6" t="n">
        <v>1</v>
      </c>
      <c r="U3" s="6" t="n">
        <v>0</v>
      </c>
      <c r="V3" s="6" t="n">
        <v>1</v>
      </c>
      <c r="W3" s="6" t="n">
        <v>1</v>
      </c>
      <c r="X3" s="6" t="n">
        <v>1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1</v>
      </c>
      <c r="AG3" s="6" t="n">
        <v>0</v>
      </c>
      <c r="AH3" s="6" t="n">
        <v>0</v>
      </c>
    </row>
    <row r="4" ht="52" customHeight="1">
      <c r="A4" s="5" t="inlineStr">
        <is>
          <t>Wewe Gombel Java</t>
        </is>
      </c>
      <c r="B4" s="5" t="inlineStr">
        <is>
          <t>wewe_gombel_java_indonesia</t>
        </is>
      </c>
      <c r="C4" s="5" t="inlineStr">
        <is>
          <t>Java</t>
        </is>
      </c>
      <c r="D4" s="5" t="inlineStr">
        <is>
          <t>Javanese</t>
        </is>
      </c>
      <c r="E4" s="5" t="inlineStr">
        <is>
          <t>Vengeful Female</t>
        </is>
      </c>
      <c r="F4" s="5" t="inlineStr">
        <is>
          <t>Spectral female</t>
        </is>
      </c>
      <c r="G4" s="5" t="inlineStr">
        <is>
          <t>Non-consumptive (no feeding)</t>
        </is>
      </c>
      <c r="H4" s="5" t="n">
        <v>4</v>
      </c>
      <c r="I4" s="5" t="inlineStr">
        <is>
          <t>Folklore-synthesis summary: a vengeful female figure in Java tradition; behaviour and origin motifs as coded in the source files. Treat as a comparative motif summary, not a single canonical tale — local variants differ by village and teller.</t>
        </is>
      </c>
      <c r="J4" s="5" t="inlineStr">
        <is>
          <t>Spectral female. See Morphology and trait matrix for coded features (hair/fur, head detachment, fire, flight).</t>
        </is>
      </c>
      <c r="K4" s="5" t="inlineStr">
        <is>
          <t>Kidnaps neglected children</t>
        </is>
      </c>
      <c r="L4" s="5" t="inlineStr">
        <is>
          <t>Parental remorse</t>
        </is>
      </c>
      <c r="M4" s="5" t="inlineStr">
        <is>
          <t>Recurring figure in Indonesian horror film, television, comics and oral storytelling; specific portrayals vary widely by medium and region.</t>
        </is>
      </c>
      <c r="N4" s="5" t="inlineStr">
        <is>
          <t>Ingroup</t>
        </is>
      </c>
      <c r="O4" s="5" t="inlineStr">
        <is>
          <t>Yes — tip in 61-taxon IQ-TREE</t>
        </is>
      </c>
      <c r="P4" s="5" t="inlineStr">
        <is>
          <t>No — coding as in source file</t>
        </is>
      </c>
      <c r="Q4" s="5" t="n">
        <v>1</v>
      </c>
      <c r="R4" s="5" t="n">
        <v>1</v>
      </c>
      <c r="S4" s="5" t="n">
        <v>0</v>
      </c>
      <c r="T4" s="5" t="n">
        <v>1</v>
      </c>
      <c r="U4" s="5" t="n">
        <v>0</v>
      </c>
      <c r="V4" s="5" t="n">
        <v>0</v>
      </c>
      <c r="W4" s="5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1</v>
      </c>
      <c r="AF4" s="5" t="n">
        <v>1</v>
      </c>
      <c r="AG4" s="5" t="n">
        <v>0</v>
      </c>
      <c r="AH4" s="5" t="n">
        <v>0</v>
      </c>
    </row>
    <row r="5" ht="52" customHeight="1">
      <c r="A5" s="6" t="inlineStr">
        <is>
          <t>Genderuwo Java</t>
        </is>
      </c>
      <c r="B5" s="6" t="inlineStr">
        <is>
          <t>genderuwo_java_indonesia</t>
        </is>
      </c>
      <c r="C5" s="6" t="inlineStr">
        <is>
          <t>Java</t>
        </is>
      </c>
      <c r="D5" s="6" t="inlineStr">
        <is>
          <t>Javanese</t>
        </is>
      </c>
      <c r="E5" s="6" t="inlineStr">
        <is>
          <t>Hominid Cryptid</t>
        </is>
      </c>
      <c r="F5" s="6" t="inlineStr">
        <is>
          <t>Bipedal primate / ape-like</t>
        </is>
      </c>
      <c r="G5" s="6" t="inlineStr">
        <is>
          <t>Unknown</t>
        </is>
      </c>
      <c r="H5" s="6" t="n">
        <v>3</v>
      </c>
      <c r="I5" s="6" t="inlineStr">
        <is>
          <t>Folklore-synthesis summary: a hominid cryptid figure in Java tradition; behaviour and origin motifs as coded in the source files. Treat as a comparative motif summary, not a single canonical tale — local variants differ by village and teller.</t>
        </is>
      </c>
      <c r="J5" s="6" t="inlineStr">
        <is>
          <t>Bipedal primate / ape-like. See Morphology and trait matrix for coded features (hair/fur, head detachment, fire, flight).</t>
        </is>
      </c>
      <c r="K5" s="6" t="inlineStr">
        <is>
          <t>Banyan tree association</t>
        </is>
      </c>
      <c r="L5" s="6" t="inlineStr">
        <is>
          <t>Unknown</t>
        </is>
      </c>
      <c r="M5" s="6" t="inlineStr">
        <is>
          <t>Recurring figure in Indonesian horror film, television, comics and oral storytelling; specific portrayals vary widely by medium and region.</t>
        </is>
      </c>
      <c r="N5" s="6" t="inlineStr">
        <is>
          <t>Ingroup</t>
        </is>
      </c>
      <c r="O5" s="6" t="inlineStr">
        <is>
          <t>Yes — tip in 61-taxon IQ-TREE</t>
        </is>
      </c>
      <c r="P5" s="6" t="inlineStr">
        <is>
          <t>No — coding as in source file</t>
        </is>
      </c>
      <c r="Q5" s="6" t="n">
        <v>1</v>
      </c>
      <c r="R5" s="6" t="n">
        <v>0</v>
      </c>
      <c r="S5" s="6" t="n">
        <v>0</v>
      </c>
      <c r="T5" s="6" t="n">
        <v>1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1</v>
      </c>
      <c r="Z5" s="6" t="n">
        <v>1</v>
      </c>
      <c r="AA5" s="6" t="n">
        <v>1</v>
      </c>
      <c r="AB5" s="6" t="n">
        <v>0</v>
      </c>
      <c r="AC5" s="6" t="n">
        <v>0</v>
      </c>
      <c r="AD5" s="6" t="n">
        <v>0</v>
      </c>
      <c r="AE5" s="6" t="n">
        <v>1</v>
      </c>
      <c r="AF5" s="6" t="n">
        <v>1</v>
      </c>
      <c r="AG5" s="6" t="n">
        <v>0</v>
      </c>
      <c r="AH5" s="6" t="n">
        <v>0</v>
      </c>
    </row>
    <row r="6" ht="52" customHeight="1">
      <c r="A6" s="5" t="inlineStr">
        <is>
          <t>Ahool Java</t>
        </is>
      </c>
      <c r="B6" s="5" t="inlineStr">
        <is>
          <t>ahool_java_indonesia</t>
        </is>
      </c>
      <c r="C6" s="5" t="inlineStr">
        <is>
          <t>Java</t>
        </is>
      </c>
      <c r="D6" s="5" t="inlineStr">
        <is>
          <t>Javanese</t>
        </is>
      </c>
      <c r="E6" s="5" t="inlineStr">
        <is>
          <t>Volant Cryptid</t>
        </is>
      </c>
      <c r="F6" s="5" t="inlineStr">
        <is>
          <t>Bipedal primate / ape-like</t>
        </is>
      </c>
      <c r="G6" s="5" t="inlineStr">
        <is>
          <t>Flesh / meat / fauna</t>
        </is>
      </c>
      <c r="H6" s="5" t="n">
        <v>3</v>
      </c>
      <c r="I6" s="5" t="inlineStr">
        <is>
          <t>Folklore-synthesis summary: a volant cryptid figure in Java tradition; behaviour and origin motifs as coded in the source files. Treat as a comparative motif summary, not a single canonical tale — local variants differ by village and teller.</t>
        </is>
      </c>
      <c r="J6" s="5" t="inlineStr">
        <is>
          <t>Bipedal primate / ape-like. See Morphology and trait matrix for coded features (hair/fur, head detachment, fire, flight).</t>
        </is>
      </c>
      <c r="K6" s="5" t="inlineStr">
        <is>
          <t>Massive wingspanvocalisation</t>
        </is>
      </c>
      <c r="L6" s="5" t="inlineStr">
        <is>
          <t>None Biological entity</t>
        </is>
      </c>
      <c r="M6" s="5" t="inlineStr">
        <is>
          <t>Recurring figure in Indonesian horror film, television, comics and oral storytelling; specific portrayals vary widely by medium and region.</t>
        </is>
      </c>
      <c r="N6" s="5" t="inlineStr">
        <is>
          <t>Ingroup</t>
        </is>
      </c>
      <c r="O6" s="5" t="inlineStr">
        <is>
          <t>Yes — tip in 61-taxon IQ-TREE</t>
        </is>
      </c>
      <c r="P6" s="5" t="inlineStr">
        <is>
          <t>YES — one or more '?' traits filled by folklore synthesis</t>
        </is>
      </c>
      <c r="Q6" s="5" t="n">
        <v>1</v>
      </c>
      <c r="R6" s="5" t="n">
        <v>2</v>
      </c>
      <c r="S6" s="5" t="n">
        <v>0</v>
      </c>
      <c r="T6" s="5" t="n">
        <v>1</v>
      </c>
      <c r="U6" s="5" t="n">
        <v>1</v>
      </c>
      <c r="V6" s="5" t="n">
        <v>0</v>
      </c>
      <c r="W6" s="5" t="n">
        <v>0</v>
      </c>
      <c r="X6" s="5" t="n">
        <v>1</v>
      </c>
      <c r="Y6" s="5" t="n">
        <v>0</v>
      </c>
      <c r="Z6" s="5" t="n">
        <v>1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1</v>
      </c>
      <c r="AF6" s="5" t="n">
        <v>0</v>
      </c>
      <c r="AG6" s="5" t="n">
        <v>0</v>
      </c>
      <c r="AH6" s="5" t="n">
        <v>0</v>
      </c>
    </row>
    <row r="7" ht="52" customHeight="1">
      <c r="A7" s="6" t="inlineStr">
        <is>
          <t>Babi Ngepet Java</t>
        </is>
      </c>
      <c r="B7" s="6" t="inlineStr">
        <is>
          <t>babi_ngepet_java_indonesia</t>
        </is>
      </c>
      <c r="C7" s="6" t="inlineStr">
        <is>
          <t>Java</t>
        </is>
      </c>
      <c r="D7" s="6" t="inlineStr">
        <is>
          <t>Javanese</t>
        </is>
      </c>
      <c r="E7" s="6" t="inlineStr">
        <is>
          <t>PesugihanWealth Demon</t>
        </is>
      </c>
      <c r="F7" s="6" t="inlineStr">
        <is>
          <t>Bipedal primate / ape-like</t>
        </is>
      </c>
      <c r="G7" s="6" t="inlineStr">
        <is>
          <t>Flesh / meat / fauna</t>
        </is>
      </c>
      <c r="H7" s="6" t="n">
        <v>4</v>
      </c>
      <c r="I7" s="6" t="inlineStr">
        <is>
          <t>Folklore-synthesis summary: a pesugihanwealth demon figure in Java tradition; behaviour and origin motifs as coded in the source files. Treat as a comparative motif summary, not a single canonical tale — local variants differ by village and teller.</t>
        </is>
      </c>
      <c r="J7" s="6" t="inlineStr">
        <is>
          <t>Bipedal primate / ape-like. See Morphology and trait matrix for coded features (hair/fur, head detachment, fire, flight).</t>
        </is>
      </c>
      <c r="K7" s="6" t="inlineStr">
        <is>
          <t>Rubs walls to steal wealth</t>
        </is>
      </c>
      <c r="L7" s="6" t="inlineStr">
        <is>
          <t>Unknown</t>
        </is>
      </c>
      <c r="M7" s="6" t="inlineStr">
        <is>
          <t>Recurring figure in Indonesian horror film, television, comics and oral storytelling; specific portrayals vary widely by medium and region.</t>
        </is>
      </c>
      <c r="N7" s="6" t="inlineStr">
        <is>
          <t>Ingroup</t>
        </is>
      </c>
      <c r="O7" s="6" t="inlineStr">
        <is>
          <t>Yes — tip in 61-taxon IQ-TREE</t>
        </is>
      </c>
      <c r="P7" s="6" t="inlineStr">
        <is>
          <t>No — coding as in source file</t>
        </is>
      </c>
      <c r="Q7" s="6" t="n">
        <v>0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1</v>
      </c>
      <c r="Z7" s="6" t="n">
        <v>1</v>
      </c>
      <c r="AA7" s="6" t="n">
        <v>1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1</v>
      </c>
      <c r="AG7" s="6" t="n">
        <v>1</v>
      </c>
      <c r="AH7" s="6" t="n">
        <v>0</v>
      </c>
    </row>
    <row r="8" ht="52" customHeight="1">
      <c r="A8" s="5" t="inlineStr">
        <is>
          <t>Toyol Tuyul</t>
        </is>
      </c>
      <c r="B8" s="5" t="inlineStr">
        <is>
          <t>toyol_tuyul_indonesian_archipelago</t>
        </is>
      </c>
      <c r="C8" s="5" t="inlineStr">
        <is>
          <t>Indonesian Archipelago (widespread)</t>
        </is>
      </c>
      <c r="D8" s="5" t="inlineStr">
        <is>
          <t>Multi-ethnic Indonesian (widespread motif)</t>
        </is>
      </c>
      <c r="E8" s="5" t="inlineStr">
        <is>
          <t>PesugihanWealth Demon</t>
        </is>
      </c>
      <c r="F8" s="5" t="inlineStr">
        <is>
          <t>Bipedal primate / ape-like</t>
        </is>
      </c>
      <c r="G8" s="5" t="inlineStr">
        <is>
          <t>Blood / fetuses</t>
        </is>
      </c>
      <c r="H8" s="5" t="n">
        <v>5</v>
      </c>
      <c r="I8" s="5" t="inlineStr">
        <is>
          <t>Folklore-synthesis summary: a pesugihanwealth demon figure in Indonesian Archipelago (widespread) tradition; behaviour and origin motifs as coded in the source files. Treat as a comparative motif summary, not a single canonical tale — local variants differ by village and teller.</t>
        </is>
      </c>
      <c r="J8" s="5" t="inlineStr">
        <is>
          <t>Bipedal primate / ape-like. See Morphology and trait matrix for coded features (hair/fur, head detachment, fire, flight).</t>
        </is>
      </c>
      <c r="K8" s="5" t="inlineStr">
        <is>
          <t>Steals half of victim wealth</t>
        </is>
      </c>
      <c r="L8" s="5" t="inlineStr">
        <is>
          <t>Unknown</t>
        </is>
      </c>
      <c r="M8" s="5" t="inlineStr">
        <is>
          <t>Recurring figure in Indonesian horror film, television, comics and oral storytelling; specific portrayals vary widely by medium and region.</t>
        </is>
      </c>
      <c r="N8" s="5" t="inlineStr">
        <is>
          <t>Ingroup</t>
        </is>
      </c>
      <c r="O8" s="5" t="inlineStr">
        <is>
          <t>Yes — tip in 61-taxon IQ-TREE</t>
        </is>
      </c>
      <c r="P8" s="5" t="inlineStr">
        <is>
          <t>No — coding as in source file</t>
        </is>
      </c>
      <c r="Q8" s="5" t="n">
        <v>1</v>
      </c>
      <c r="R8" s="5" t="n">
        <v>2</v>
      </c>
      <c r="S8" s="5" t="n">
        <v>1</v>
      </c>
      <c r="T8" s="5" t="n">
        <v>1</v>
      </c>
      <c r="U8" s="5" t="n">
        <v>0</v>
      </c>
      <c r="V8" s="5" t="n">
        <v>0</v>
      </c>
      <c r="W8" s="5" t="n">
        <v>1</v>
      </c>
      <c r="X8" s="5" t="n">
        <v>0</v>
      </c>
      <c r="Y8" s="5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1</v>
      </c>
      <c r="AG8" s="5" t="n">
        <v>1</v>
      </c>
      <c r="AH8" s="5" t="n">
        <v>1</v>
      </c>
    </row>
    <row r="9" ht="52" customHeight="1">
      <c r="A9" s="6" t="inlineStr">
        <is>
          <t>Jenglot</t>
        </is>
      </c>
      <c r="B9" s="6" t="inlineStr">
        <is>
          <t>jenglot_indonesian_archipelago</t>
        </is>
      </c>
      <c r="C9" s="6" t="inlineStr">
        <is>
          <t>Indonesian Archipelago (widespread)</t>
        </is>
      </c>
      <c r="D9" s="6" t="inlineStr">
        <is>
          <t>Multi-ethnic Indonesian (widespread motif)</t>
        </is>
      </c>
      <c r="E9" s="6" t="inlineStr">
        <is>
          <t>PesugihanWealth Demon</t>
        </is>
      </c>
      <c r="F9" s="6" t="inlineStr">
        <is>
          <t>Bipedal primate / ape-like</t>
        </is>
      </c>
      <c r="G9" s="6" t="inlineStr">
        <is>
          <t>Flesh / meat / fauna</t>
        </is>
      </c>
      <c r="H9" s="6" t="n">
        <v>4</v>
      </c>
      <c r="I9" s="6" t="inlineStr">
        <is>
          <t>Folklore-synthesis summary: a pesugihanwealth demon figure in Indonesian Archipelago (widespread) tradition; behaviour and origin motifs as coded in the source files. Treat as a comparative motif summary, not a single canonical tale — local variants differ by village and teller.</t>
        </is>
      </c>
      <c r="J9" s="6" t="inlineStr">
        <is>
          <t>Bipedal primate / ape-like. See Morphology and trait matrix for coded features (hair/fur, head detachment, fire, flight).</t>
        </is>
      </c>
      <c r="K9" s="6" t="inlineStr">
        <is>
          <t>Occult battery</t>
        </is>
      </c>
      <c r="L9" s="6" t="inlineStr">
        <is>
          <t>Unknown</t>
        </is>
      </c>
      <c r="M9" s="6" t="inlineStr">
        <is>
          <t>Recurring figure in Indonesian horror film, television, comics and oral storytelling; specific portrayals vary widely by medium and region.</t>
        </is>
      </c>
      <c r="N9" s="6" t="inlineStr">
        <is>
          <t>Ingroup</t>
        </is>
      </c>
      <c r="O9" s="6" t="inlineStr">
        <is>
          <t>Yes — tip in 61-taxon IQ-TREE</t>
        </is>
      </c>
      <c r="P9" s="6" t="inlineStr">
        <is>
          <t>No — coding as in source file</t>
        </is>
      </c>
      <c r="Q9" s="6" t="n">
        <v>0</v>
      </c>
      <c r="R9" s="6" t="n">
        <v>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1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1</v>
      </c>
      <c r="AG9" s="6" t="n">
        <v>1</v>
      </c>
      <c r="AH9" s="6" t="n">
        <v>0</v>
      </c>
    </row>
    <row r="10" ht="52" customHeight="1">
      <c r="A10" s="5" t="inlineStr">
        <is>
          <t>Pocong Java</t>
        </is>
      </c>
      <c r="B10" s="5" t="inlineStr">
        <is>
          <t>pocong_java_indonesia</t>
        </is>
      </c>
      <c r="C10" s="5" t="inlineStr">
        <is>
          <t>Java</t>
        </is>
      </c>
      <c r="D10" s="5" t="inlineStr">
        <is>
          <t>Javanese</t>
        </is>
      </c>
      <c r="E10" s="5" t="inlineStr">
        <is>
          <t>UndeadRevenant</t>
        </is>
      </c>
      <c r="F10" s="5" t="inlineStr">
        <is>
          <t>Shrouded corpse</t>
        </is>
      </c>
      <c r="G10" s="5" t="inlineStr">
        <is>
          <t>Non-consumptive (no feeding)</t>
        </is>
      </c>
      <c r="H10" s="5" t="n">
        <v>3</v>
      </c>
      <c r="I10" s="5" t="inlineStr">
        <is>
          <t>Folklore-synthesis summary: a undeadrevenant figure in Java tradition; behaviour and origin motifs as coded in the source files. Treat as a comparative motif summary, not a single canonical tale — local variants differ by village and teller.</t>
        </is>
      </c>
      <c r="J10" s="5" t="inlineStr">
        <is>
          <t>Shrouded corpse. See Morphology and trait matrix for coded features (hair/fur, head detachment, fire, flight).</t>
        </is>
      </c>
      <c r="K10" s="5" t="inlineStr">
        <is>
          <t>Hopping locomotiontied shroud</t>
        </is>
      </c>
      <c r="L10" s="5" t="inlineStr">
        <is>
          <t>Untying the shroud knot</t>
        </is>
      </c>
      <c r="M10" s="5" t="inlineStr">
        <is>
          <t>Recurring figure in Indonesian horror film, television, comics and oral storytelling; specific portrayals vary widely by medium and region.</t>
        </is>
      </c>
      <c r="N10" s="5" t="inlineStr">
        <is>
          <t>Ingroup</t>
        </is>
      </c>
      <c r="O10" s="5" t="inlineStr">
        <is>
          <t>Yes — tip in 61-taxon IQ-TREE</t>
        </is>
      </c>
      <c r="P10" s="5" t="inlineStr">
        <is>
          <t>No — coding as in source file</t>
        </is>
      </c>
      <c r="Q10" s="5" t="n">
        <v>1</v>
      </c>
      <c r="R10" s="5" t="n">
        <v>2</v>
      </c>
      <c r="S10" s="5" t="n">
        <v>1</v>
      </c>
      <c r="T10" s="5" t="n">
        <v>1</v>
      </c>
      <c r="U10" s="5" t="n">
        <v>0</v>
      </c>
      <c r="V10" s="5" t="n">
        <v>1</v>
      </c>
      <c r="W10" s="5" t="n">
        <v>0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1</v>
      </c>
      <c r="AG10" s="5" t="n">
        <v>0</v>
      </c>
      <c r="AH10" s="5" t="n">
        <v>1</v>
      </c>
    </row>
    <row r="11" ht="52" customHeight="1">
      <c r="A11" s="6" t="inlineStr">
        <is>
          <t>Banaspati Java</t>
        </is>
      </c>
      <c r="B11" s="6" t="inlineStr">
        <is>
          <t>banaspati_java_indonesia</t>
        </is>
      </c>
      <c r="C11" s="6" t="inlineStr">
        <is>
          <t>Java</t>
        </is>
      </c>
      <c r="D11" s="6" t="inlineStr">
        <is>
          <t>Javanese</t>
        </is>
      </c>
      <c r="E11" s="6" t="inlineStr">
        <is>
          <t>ElementalDemonic</t>
        </is>
      </c>
      <c r="F11" s="6" t="inlineStr">
        <is>
          <t>Floating fireball / flame entity</t>
        </is>
      </c>
      <c r="G11" s="6" t="inlineStr">
        <is>
          <t>Flesh / meat / fauna</t>
        </is>
      </c>
      <c r="H11" s="6" t="n">
        <v>4</v>
      </c>
      <c r="I11" s="6" t="inlineStr">
        <is>
          <t>Folklore-synthesis summary: a elementaldemonic figure in Java tradition; behaviour and origin motifs as coded in the source files. Treat as a comparative motif summary, not a single canonical tale — local variants differ by village and teller.</t>
        </is>
      </c>
      <c r="J11" s="6" t="inlineStr">
        <is>
          <t>Floating fireball / flame entity. See Morphology and trait matrix for coded features (hair/fur, head detachment, fire, flight).</t>
        </is>
      </c>
      <c r="K11" s="6" t="inlineStr">
        <is>
          <t>Burns victimsspontaneous combustion</t>
        </is>
      </c>
      <c r="L11" s="6" t="inlineStr">
        <is>
          <t>Holy prayerswater</t>
        </is>
      </c>
      <c r="M11" s="6" t="inlineStr">
        <is>
          <t>Recurring figure in Indonesian horror film, television, comics and oral storytelling; specific portrayals vary widely by medium and region.</t>
        </is>
      </c>
      <c r="N11" s="6" t="inlineStr">
        <is>
          <t>Ingroup</t>
        </is>
      </c>
      <c r="O11" s="6" t="inlineStr">
        <is>
          <t>Yes — tip in 61-taxon IQ-TREE</t>
        </is>
      </c>
      <c r="P11" s="6" t="inlineStr">
        <is>
          <t>No — coding as in source file</t>
        </is>
      </c>
      <c r="Q11" s="6" t="n">
        <v>1</v>
      </c>
      <c r="R11" s="6" t="n">
        <v>2</v>
      </c>
      <c r="S11" s="6" t="n">
        <v>0</v>
      </c>
      <c r="T11" s="6" t="n">
        <v>1</v>
      </c>
      <c r="U11" s="6" t="n">
        <v>1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1</v>
      </c>
      <c r="AD11" s="6" t="n">
        <v>0</v>
      </c>
      <c r="AE11" s="6" t="n">
        <v>0</v>
      </c>
      <c r="AF11" s="6" t="n">
        <v>1</v>
      </c>
      <c r="AG11" s="6" t="n">
        <v>0</v>
      </c>
      <c r="AH11" s="6" t="n">
        <v>0</v>
      </c>
    </row>
    <row r="12" ht="52" customHeight="1">
      <c r="A12" s="5" t="inlineStr">
        <is>
          <t>Buto Ijo Java</t>
        </is>
      </c>
      <c r="B12" s="5" t="inlineStr">
        <is>
          <t>buto_ijo_java_indonesia</t>
        </is>
      </c>
      <c r="C12" s="5" t="inlineStr">
        <is>
          <t>Java</t>
        </is>
      </c>
      <c r="D12" s="5" t="inlineStr">
        <is>
          <t>Javanese</t>
        </is>
      </c>
      <c r="E12" s="5" t="inlineStr">
        <is>
          <t>PesugihanWealth Demon</t>
        </is>
      </c>
      <c r="F12" s="5" t="inlineStr">
        <is>
          <t>Gigantic humanoid / ogre</t>
        </is>
      </c>
      <c r="G12" s="5" t="inlineStr">
        <is>
          <t>Flesh / meat / fauna</t>
        </is>
      </c>
      <c r="H12" s="5" t="n">
        <v>4</v>
      </c>
      <c r="I12" s="5" t="inlineStr">
        <is>
          <t>Folklore-synthesis summary: a pesugihanwealth demon figure in Java tradition; behaviour and origin motifs as coded in the source files. Treat as a comparative motif summary, not a single canonical tale — local variants differ by village and teller.</t>
        </is>
      </c>
      <c r="J12" s="5" t="inlineStr">
        <is>
          <t>Gigantic humanoid / ogre. See Morphology and trait matrix for coded features (hair/fur, head detachment, fire, flight).</t>
        </is>
      </c>
      <c r="K12" s="5" t="inlineStr">
        <is>
          <t>Requires human sacrifice for wealth</t>
        </is>
      </c>
      <c r="L12" s="5" t="inlineStr">
        <is>
          <t>Specific ritual offeringsBanyan wood</t>
        </is>
      </c>
      <c r="M12" s="5" t="inlineStr">
        <is>
          <t>Recurring figure in Indonesian horror film, television, comics and oral storytelling; specific portrayals vary widely by medium and region.</t>
        </is>
      </c>
      <c r="N12" s="5" t="inlineStr">
        <is>
          <t>Ingroup</t>
        </is>
      </c>
      <c r="O12" s="5" t="inlineStr">
        <is>
          <t>Yes — tip in 61-taxon IQ-TREE</t>
        </is>
      </c>
      <c r="P12" s="5" t="inlineStr">
        <is>
          <t>YES — one or more '?' traits filled by folklore synthesis</t>
        </is>
      </c>
      <c r="Q12" s="5" t="n">
        <v>1</v>
      </c>
      <c r="R12" s="5" t="n">
        <v>2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1</v>
      </c>
      <c r="Y12" s="5" t="n">
        <v>1</v>
      </c>
      <c r="Z12" s="5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1</v>
      </c>
      <c r="AG12" s="5" t="n">
        <v>1</v>
      </c>
      <c r="AH12" s="5" t="n">
        <v>0</v>
      </c>
    </row>
    <row r="13" ht="52" customHeight="1">
      <c r="A13" s="6" t="inlineStr">
        <is>
          <t>Suster Ngesot Java</t>
        </is>
      </c>
      <c r="B13" s="6" t="inlineStr">
        <is>
          <t>suster_ngesot_java_indonesia</t>
        </is>
      </c>
      <c r="C13" s="6" t="inlineStr">
        <is>
          <t>Java</t>
        </is>
      </c>
      <c r="D13" s="6" t="inlineStr">
        <is>
          <t>Javanese</t>
        </is>
      </c>
      <c r="E13" s="6" t="inlineStr">
        <is>
          <t>Vengeful Female</t>
        </is>
      </c>
      <c r="F13" s="6" t="inlineStr">
        <is>
          <t>Spectral female</t>
        </is>
      </c>
      <c r="G13" s="6" t="inlineStr">
        <is>
          <t>Non-consumptive (no feeding)</t>
        </is>
      </c>
      <c r="H13" s="6" t="n">
        <v>4</v>
      </c>
      <c r="I13" s="6" t="inlineStr">
        <is>
          <t>Folklore-synthesis summary: a vengeful female figure in Java tradition; behaviour and origin motifs as coded in the source files. Treat as a comparative motif summary, not a single canonical tale — local variants differ by village and teller.</t>
        </is>
      </c>
      <c r="J13" s="6" t="inlineStr">
        <is>
          <t>Spectral female. See Morphology and trait matrix for coded features (hair/fur, head detachment, fire, flight).</t>
        </is>
      </c>
      <c r="K13" s="6" t="inlineStr">
        <is>
          <t>Crawling on floorshospital association</t>
        </is>
      </c>
      <c r="L13" s="6" t="inlineStr">
        <is>
          <t>Violent murderbetrayal origin</t>
        </is>
      </c>
      <c r="M13" s="6" t="inlineStr">
        <is>
          <t>Recurring figure in Indonesian horror film, television, comics and oral storytelling; specific portrayals vary widely by medium and region.</t>
        </is>
      </c>
      <c r="N13" s="6" t="inlineStr">
        <is>
          <t>Ingroup</t>
        </is>
      </c>
      <c r="O13" s="6" t="inlineStr">
        <is>
          <t>Yes — tip in 61-taxon IQ-TREE</t>
        </is>
      </c>
      <c r="P13" s="6" t="inlineStr">
        <is>
          <t>No — coding as in source file</t>
        </is>
      </c>
      <c r="Q13" s="6" t="n">
        <v>1</v>
      </c>
      <c r="R13" s="6" t="n">
        <v>1</v>
      </c>
      <c r="S13" s="6" t="n">
        <v>1</v>
      </c>
      <c r="T13" s="6" t="n">
        <v>1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1</v>
      </c>
      <c r="AG13" s="6" t="n">
        <v>0</v>
      </c>
      <c r="AH13" s="6" t="n">
        <v>0</v>
      </c>
    </row>
    <row r="14" ht="52" customHeight="1">
      <c r="A14" s="5" t="inlineStr">
        <is>
          <t>Batara Kala Java</t>
        </is>
      </c>
      <c r="B14" s="5" t="inlineStr">
        <is>
          <t>batara_kala_java_indonesia</t>
        </is>
      </c>
      <c r="C14" s="5" t="inlineStr">
        <is>
          <t>Java</t>
        </is>
      </c>
      <c r="D14" s="5" t="inlineStr">
        <is>
          <t>Javanese</t>
        </is>
      </c>
      <c r="E14" s="5" t="inlineStr">
        <is>
          <t>ElementalDemonic</t>
        </is>
      </c>
      <c r="F14" s="5" t="inlineStr">
        <is>
          <t>Gigantic humanoid / ogre</t>
        </is>
      </c>
      <c r="G14" s="5" t="inlineStr">
        <is>
          <t>Blood / fetuses</t>
        </is>
      </c>
      <c r="H14" s="5" t="n">
        <v>5</v>
      </c>
      <c r="I14" s="5" t="inlineStr">
        <is>
          <t>Folklore-synthesis summary: a elementaldemonic figure in Java tradition; behaviour and origin motifs as coded in the source files. Treat as a comparative motif summary, not a single canonical tale — local variants differ by village and teller.</t>
        </is>
      </c>
      <c r="J14" s="5" t="inlineStr">
        <is>
          <t>Gigantic humanoid / ogre. See Morphology and trait matrix for coded features (hair/fur, head detachment, fire, flight).</t>
        </is>
      </c>
      <c r="K14" s="5" t="inlineStr">
        <is>
          <t>Banyan tree association</t>
        </is>
      </c>
      <c r="L14" s="5" t="inlineStr">
        <is>
          <t>Holy prayerswater</t>
        </is>
      </c>
      <c r="M14" s="5" t="inlineStr">
        <is>
          <t>Recurring figure in Indonesian horror film, television, comics and oral storytelling; specific portrayals vary widely by medium and region.</t>
        </is>
      </c>
      <c r="N14" s="5" t="inlineStr">
        <is>
          <t>Ingroup</t>
        </is>
      </c>
      <c r="O14" s="5" t="inlineStr">
        <is>
          <t>Yes — tip in 61-taxon IQ-TREE</t>
        </is>
      </c>
      <c r="P14" s="5" t="inlineStr">
        <is>
          <t>YES — one or more '?' traits filled by folklore synthesis</t>
        </is>
      </c>
      <c r="Q14" s="5" t="n">
        <v>1</v>
      </c>
      <c r="R14" s="5" t="n">
        <v>2</v>
      </c>
      <c r="S14" s="5" t="n">
        <v>0</v>
      </c>
      <c r="T14" s="5" t="n">
        <v>0</v>
      </c>
      <c r="U14" s="5" t="n">
        <v>0</v>
      </c>
      <c r="V14" s="5" t="n">
        <v>0</v>
      </c>
      <c r="W14" s="5" t="n">
        <v>1</v>
      </c>
      <c r="X14" s="5" t="n">
        <v>1</v>
      </c>
      <c r="Y14" s="5" t="n">
        <v>0</v>
      </c>
      <c r="Z14" s="5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1</v>
      </c>
      <c r="AH14" s="5" t="n">
        <v>0</v>
      </c>
    </row>
    <row r="15" ht="52" customHeight="1">
      <c r="A15" s="6" t="inlineStr">
        <is>
          <t>Bajang Java</t>
        </is>
      </c>
      <c r="B15" s="6" t="inlineStr">
        <is>
          <t>bajang_java_indonesia</t>
        </is>
      </c>
      <c r="C15" s="6" t="inlineStr">
        <is>
          <t>Java</t>
        </is>
      </c>
      <c r="D15" s="6" t="inlineStr">
        <is>
          <t>Javanese</t>
        </is>
      </c>
      <c r="E15" s="6" t="inlineStr">
        <is>
          <t>Volant Viscerophage</t>
        </is>
      </c>
      <c r="F15" s="6" t="inlineStr">
        <is>
          <t>Bipedal primate / ape-like</t>
        </is>
      </c>
      <c r="G15" s="6" t="inlineStr">
        <is>
          <t>Blood / fetuses</t>
        </is>
      </c>
      <c r="H15" s="6" t="n">
        <v>5</v>
      </c>
      <c r="I15" s="6" t="inlineStr">
        <is>
          <t>Folklore-synthesis summary: a volant viscerophage figure in Java tradition; behaviour and origin motifs as coded in the source files. Treat as a comparative motif summary, not a single canonical tale — local variants differ by village and teller.</t>
        </is>
      </c>
      <c r="J15" s="6" t="inlineStr">
        <is>
          <t>Bipedal primate / ape-like. See Morphology and trait matrix for coded features (hair/fur, head detachment, fire, flight).</t>
        </is>
      </c>
      <c r="K15" s="6" t="inlineStr">
        <is>
          <t>Steals half of victim wealth</t>
        </is>
      </c>
      <c r="L15" s="6" t="inlineStr">
        <is>
          <t>Unknown</t>
        </is>
      </c>
      <c r="M15" s="6" t="inlineStr">
        <is>
          <t>Recurring figure in Indonesian horror film, television, comics and oral storytelling; specific portrayals vary widely by medium and region.</t>
        </is>
      </c>
      <c r="N15" s="6" t="inlineStr">
        <is>
          <t>Ingroup</t>
        </is>
      </c>
      <c r="O15" s="6" t="inlineStr">
        <is>
          <t>Yes — tip in 61-taxon IQ-TREE</t>
        </is>
      </c>
      <c r="P15" s="6" t="inlineStr">
        <is>
          <t>YES — one or more '?' traits filled by folklore synthesis</t>
        </is>
      </c>
      <c r="Q15" s="6" t="n">
        <v>1</v>
      </c>
      <c r="R15" s="6" t="n">
        <v>2</v>
      </c>
      <c r="S15" s="6" t="n">
        <v>0</v>
      </c>
      <c r="T15" s="6" t="n">
        <v>0</v>
      </c>
      <c r="U15" s="6" t="n">
        <v>1</v>
      </c>
      <c r="V15" s="6" t="n">
        <v>0</v>
      </c>
      <c r="W15" s="6" t="n">
        <v>1</v>
      </c>
      <c r="X15" s="6" t="n">
        <v>1</v>
      </c>
      <c r="Y15" s="6" t="n">
        <v>0</v>
      </c>
      <c r="Z15" s="6" t="n">
        <v>1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0</v>
      </c>
      <c r="AF15" s="6" t="n">
        <v>0</v>
      </c>
      <c r="AG15" s="6" t="n">
        <v>1</v>
      </c>
      <c r="AH15" s="6" t="n">
        <v>0</v>
      </c>
    </row>
    <row r="16" ht="52" customHeight="1">
      <c r="A16" s="5" t="inlineStr">
        <is>
          <t>Tuyul Buncit Java</t>
        </is>
      </c>
      <c r="B16" s="5" t="inlineStr">
        <is>
          <t>tuyul_buncit_java_indonesia</t>
        </is>
      </c>
      <c r="C16" s="5" t="inlineStr">
        <is>
          <t>Java</t>
        </is>
      </c>
      <c r="D16" s="5" t="inlineStr">
        <is>
          <t>Javanese</t>
        </is>
      </c>
      <c r="E16" s="5" t="inlineStr">
        <is>
          <t>PesugihanWealth Demon</t>
        </is>
      </c>
      <c r="F16" s="5" t="inlineStr">
        <is>
          <t>Bipedal primate / ape-like</t>
        </is>
      </c>
      <c r="G16" s="5" t="inlineStr">
        <is>
          <t>Blood / fetuses</t>
        </is>
      </c>
      <c r="H16" s="5" t="n">
        <v>5</v>
      </c>
      <c r="I16" s="5" t="inlineStr">
        <is>
          <t>Folklore-synthesis summary: a pesugihanwealth demon figure in Java tradition; behaviour and origin motifs as coded in the source files. Treat as a comparative motif summary, not a single canonical tale — local variants differ by village and teller.</t>
        </is>
      </c>
      <c r="J16" s="5" t="inlineStr">
        <is>
          <t>Bipedal primate / ape-like. See Morphology and trait matrix for coded features (hair/fur, head detachment, fire, flight).</t>
        </is>
      </c>
      <c r="K16" s="5" t="inlineStr">
        <is>
          <t>Steals half of victim wealth</t>
        </is>
      </c>
      <c r="L16" s="5" t="inlineStr">
        <is>
          <t>Unknown</t>
        </is>
      </c>
      <c r="M16" s="5" t="inlineStr">
        <is>
          <t>Recurring figure in Indonesian horror film, television, comics and oral storytelling; specific portrayals vary widely by medium and region.</t>
        </is>
      </c>
      <c r="N16" s="5" t="inlineStr">
        <is>
          <t>Ingroup</t>
        </is>
      </c>
      <c r="O16" s="5" t="inlineStr">
        <is>
          <t>Yes — tip in 61-taxon IQ-TREE</t>
        </is>
      </c>
      <c r="P16" s="5" t="inlineStr">
        <is>
          <t>No — coding as in source file</t>
        </is>
      </c>
      <c r="Q16" s="5" t="n">
        <v>1</v>
      </c>
      <c r="R16" s="5" t="n">
        <v>2</v>
      </c>
      <c r="S16" s="5" t="n">
        <v>1</v>
      </c>
      <c r="T16" s="5" t="n">
        <v>1</v>
      </c>
      <c r="U16" s="5" t="n">
        <v>0</v>
      </c>
      <c r="V16" s="5" t="n">
        <v>0</v>
      </c>
      <c r="W16" s="5" t="n">
        <v>1</v>
      </c>
      <c r="X16" s="5" t="n">
        <v>0</v>
      </c>
      <c r="Y16" s="5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1</v>
      </c>
      <c r="AG16" s="5" t="n">
        <v>1</v>
      </c>
      <c r="AH16" s="5" t="n">
        <v>1</v>
      </c>
    </row>
    <row r="17" ht="52" customHeight="1">
      <c r="A17" s="6" t="inlineStr">
        <is>
          <t>Leyak Bali</t>
        </is>
      </c>
      <c r="B17" s="6" t="inlineStr">
        <is>
          <t>leyak_bali_indonesia</t>
        </is>
      </c>
      <c r="C17" s="6" t="inlineStr">
        <is>
          <t>Bali</t>
        </is>
      </c>
      <c r="D17" s="6" t="inlineStr">
        <is>
          <t>Balinese (Hindu-Balinese tradition)</t>
        </is>
      </c>
      <c r="E17" s="6" t="inlineStr">
        <is>
          <t>Volant Viscerophage</t>
        </is>
      </c>
      <c r="F17" s="6" t="inlineStr">
        <is>
          <t>Detached flying head</t>
        </is>
      </c>
      <c r="G17" s="6" t="inlineStr">
        <is>
          <t>Blood / fetuses</t>
        </is>
      </c>
      <c r="H17" s="6" t="n">
        <v>5</v>
      </c>
      <c r="I17" s="6" t="inlineStr">
        <is>
          <t>Folklore-synthesis summary: a volant viscerophage figure in Bali tradition; behaviour and origin motifs as coded in the source files. Treat as a comparative motif summary, not a single canonical tale — local variants differ by village and teller.</t>
        </is>
      </c>
      <c r="J17" s="6" t="inlineStr">
        <is>
          <t>Detached flying head. See Morphology and trait matrix for coded features (hair/fur, head detachment, fire, flight).</t>
        </is>
      </c>
      <c r="K17" s="6" t="inlineStr">
        <is>
          <t>Ajian magicnocturnal hunting</t>
        </is>
      </c>
      <c r="L17" s="6" t="inlineStr">
        <is>
          <t>Neck stabbing</t>
        </is>
      </c>
      <c r="M17" s="6" t="inlineStr">
        <is>
          <t>Recurring figure in Indonesian horror film, television, comics and oral storytelling; specific portrayals vary widely by medium and region.</t>
        </is>
      </c>
      <c r="N17" s="6" t="inlineStr">
        <is>
          <t>Ingroup</t>
        </is>
      </c>
      <c r="O17" s="6" t="inlineStr">
        <is>
          <t>Yes — tip in 61-taxon IQ-TREE</t>
        </is>
      </c>
      <c r="P17" s="6" t="inlineStr">
        <is>
          <t>No — coding as in source file</t>
        </is>
      </c>
      <c r="Q17" s="6" t="n">
        <v>1</v>
      </c>
      <c r="R17" s="6" t="n">
        <v>2</v>
      </c>
      <c r="S17" s="6" t="n">
        <v>0</v>
      </c>
      <c r="T17" s="6" t="n">
        <v>0</v>
      </c>
      <c r="U17" s="6" t="n">
        <v>1</v>
      </c>
      <c r="V17" s="6" t="n">
        <v>1</v>
      </c>
      <c r="W17" s="6" t="n">
        <v>1</v>
      </c>
      <c r="X17" s="6" t="n">
        <v>1</v>
      </c>
      <c r="Y17" s="6" t="n">
        <v>0</v>
      </c>
      <c r="Z17" s="6" t="n">
        <v>0</v>
      </c>
      <c r="AA17" s="6" t="n">
        <v>1</v>
      </c>
      <c r="AB17" s="6" t="n">
        <v>1</v>
      </c>
      <c r="AC17" s="6" t="n">
        <v>1</v>
      </c>
      <c r="AD17" s="6" t="n">
        <v>0</v>
      </c>
      <c r="AE17" s="6" t="n">
        <v>0</v>
      </c>
      <c r="AF17" s="6" t="n">
        <v>0</v>
      </c>
      <c r="AG17" s="6" t="n">
        <v>1</v>
      </c>
      <c r="AH17" s="6" t="n">
        <v>0</v>
      </c>
    </row>
    <row r="18" ht="52" customHeight="1">
      <c r="A18" s="5" t="inlineStr">
        <is>
          <t>Palasik West Sumatra</t>
        </is>
      </c>
      <c r="B18" s="5" t="inlineStr">
        <is>
          <t>palasik_west_sumatra_indonesia</t>
        </is>
      </c>
      <c r="C18" s="5" t="inlineStr">
        <is>
          <t>Sumatra</t>
        </is>
      </c>
      <c r="D18" s="5" t="inlineStr">
        <is>
          <t>Minangkabau / Batak / Malay (Sumatra)</t>
        </is>
      </c>
      <c r="E18" s="5" t="inlineStr">
        <is>
          <t>Volant Viscerophage</t>
        </is>
      </c>
      <c r="F18" s="5" t="inlineStr">
        <is>
          <t>Detached flying head</t>
        </is>
      </c>
      <c r="G18" s="5" t="inlineStr">
        <is>
          <t>Blood / fetuses</t>
        </is>
      </c>
      <c r="H18" s="5" t="n">
        <v>5</v>
      </c>
      <c r="I18" s="5" t="inlineStr">
        <is>
          <t>Folklore-synthesis summary: a volant viscerophage figure in Sumatra tradition; behaviour and origin motifs as coded in the source files. Treat as a comparative motif summary, not a single canonical tale — local variants differ by village and teller.</t>
        </is>
      </c>
      <c r="J18" s="5" t="inlineStr">
        <is>
          <t>Detached flying head. See Morphology and trait matrix for coded features (hair/fur, head detachment, fire, flight).</t>
        </is>
      </c>
      <c r="K18" s="5" t="inlineStr">
        <is>
          <t>Hereditaryattacks unborn</t>
        </is>
      </c>
      <c r="L18" s="5" t="inlineStr">
        <is>
          <t>Garlic amuletsreversed clothing</t>
        </is>
      </c>
      <c r="M18" s="5" t="inlineStr">
        <is>
          <t>Recurring figure in Indonesian horror film, television, comics and oral storytelling; specific portrayals vary widely by medium and region.</t>
        </is>
      </c>
      <c r="N18" s="5" t="inlineStr">
        <is>
          <t>Ingroup</t>
        </is>
      </c>
      <c r="O18" s="5" t="inlineStr">
        <is>
          <t>Yes — tip in 61-taxon IQ-TREE</t>
        </is>
      </c>
      <c r="P18" s="5" t="inlineStr">
        <is>
          <t>YES — one or more '?' traits filled by folklore synthesis</t>
        </is>
      </c>
      <c r="Q18" s="5" t="n">
        <v>1</v>
      </c>
      <c r="R18" s="5" t="n">
        <v>2</v>
      </c>
      <c r="S18" s="5" t="n">
        <v>0</v>
      </c>
      <c r="T18" s="5" t="n">
        <v>1</v>
      </c>
      <c r="U18" s="5" t="n">
        <v>1</v>
      </c>
      <c r="V18" s="5" t="n">
        <v>0</v>
      </c>
      <c r="W18" s="5" t="n">
        <v>1</v>
      </c>
      <c r="X18" s="5" t="n">
        <v>1</v>
      </c>
      <c r="Y18" s="5" t="n">
        <v>0</v>
      </c>
      <c r="Z18" s="5" t="n">
        <v>0</v>
      </c>
      <c r="AA18" s="5" t="n">
        <v>0</v>
      </c>
      <c r="AB18" s="5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1</v>
      </c>
      <c r="AH18" s="5" t="n">
        <v>0</v>
      </c>
    </row>
    <row r="19" ht="52" customHeight="1">
      <c r="A19" s="6" t="inlineStr">
        <is>
          <t>Orang Pendek Sumatra</t>
        </is>
      </c>
      <c r="B19" s="6" t="inlineStr">
        <is>
          <t>orang_pendek_sumatra_indonesia</t>
        </is>
      </c>
      <c r="C19" s="6" t="inlineStr">
        <is>
          <t>Sumatra</t>
        </is>
      </c>
      <c r="D19" s="6" t="inlineStr">
        <is>
          <t>Minangkabau / Batak / Malay (Sumatra)</t>
        </is>
      </c>
      <c r="E19" s="6" t="inlineStr">
        <is>
          <t>Hominid Cryptid</t>
        </is>
      </c>
      <c r="F19" s="6" t="inlineStr">
        <is>
          <t>Bipedal primate / ape-like</t>
        </is>
      </c>
      <c r="G19" s="6" t="inlineStr">
        <is>
          <t>Omnivore / herbivore</t>
        </is>
      </c>
      <c r="H19" s="6" t="n">
        <v>3</v>
      </c>
      <c r="I19" s="6" t="inlineStr">
        <is>
          <t>Folklore-synthesis summary: a hominid cryptid figure in Sumatra tradition; behaviour and origin motifs as coded in the source files. Treat as a comparative motif summary, not a single canonical tale — local variants differ by village and teller.</t>
        </is>
      </c>
      <c r="J19" s="6" t="inlineStr">
        <is>
          <t>Bipedal primate / ape-like. See Morphology and trait matrix for coded features (hair/fur, head detachment, fire, flight).</t>
        </is>
      </c>
      <c r="K19" s="6" t="inlineStr">
        <is>
          <t>Avoids humans</t>
        </is>
      </c>
      <c r="L19" s="6" t="inlineStr">
        <is>
          <t>None Biological entity</t>
        </is>
      </c>
      <c r="M19" s="6" t="inlineStr">
        <is>
          <t>Recurring figure in Indonesian horror film, television, comics and oral storytelling; specific portrayals vary widely by medium and region.</t>
        </is>
      </c>
      <c r="N19" s="6" t="inlineStr">
        <is>
          <t>Ingroup</t>
        </is>
      </c>
      <c r="O19" s="6" t="inlineStr">
        <is>
          <t>Yes — tip in 61-taxon IQ-TREE</t>
        </is>
      </c>
      <c r="P19" s="6" t="inlineStr">
        <is>
          <t>No — coding as in source file</t>
        </is>
      </c>
      <c r="Q19" s="6" t="n">
        <v>1</v>
      </c>
      <c r="R19" s="6" t="n">
        <v>2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1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1</v>
      </c>
      <c r="AF19" s="6" t="n">
        <v>0</v>
      </c>
      <c r="AG19" s="6" t="n">
        <v>0</v>
      </c>
      <c r="AH19" s="6" t="n">
        <v>0</v>
      </c>
    </row>
    <row r="20" ht="52" customHeight="1">
      <c r="A20" s="5" t="inlineStr">
        <is>
          <t>Cindaku Sumatra</t>
        </is>
      </c>
      <c r="B20" s="5" t="inlineStr">
        <is>
          <t>cindaku_sumatra_indonesia</t>
        </is>
      </c>
      <c r="C20" s="5" t="inlineStr">
        <is>
          <t>Sumatra</t>
        </is>
      </c>
      <c r="D20" s="5" t="inlineStr">
        <is>
          <t>Minangkabau / Batak / Malay (Sumatra)</t>
        </is>
      </c>
      <c r="E20" s="5" t="inlineStr">
        <is>
          <t>TherianthropeShapeshifter</t>
        </is>
      </c>
      <c r="F20" s="5" t="inlineStr">
        <is>
          <t>Tiger–human hybrid</t>
        </is>
      </c>
      <c r="G20" s="5" t="inlineStr">
        <is>
          <t>Flesh / meat / fauna</t>
        </is>
      </c>
      <c r="H20" s="5" t="n">
        <v>4</v>
      </c>
      <c r="I20" s="5" t="inlineStr">
        <is>
          <t>Folklore-synthesis summary: a therianthropeshapeshifter figure in Sumatra tradition; behaviour and origin motifs as coded in the source files. Treat as a comparative motif summary, not a single canonical tale — local variants differ by village and teller.</t>
        </is>
      </c>
      <c r="J20" s="5" t="inlineStr">
        <is>
          <t>Tiger–human hybrid. See Morphology and trait matrix for coded features (hair/fur, head detachment, fire, flight).</t>
        </is>
      </c>
      <c r="K20" s="5" t="inlineStr">
        <is>
          <t>Transforms in ancestral landsguardian spirit</t>
        </is>
      </c>
      <c r="L20" s="5" t="inlineStr">
        <is>
          <t>Breaking ancestral taboo</t>
        </is>
      </c>
      <c r="M20" s="5" t="inlineStr">
        <is>
          <t>Recurring figure in Indonesian horror film, television, comics and oral storytelling; specific portrayals vary widely by medium and region.</t>
        </is>
      </c>
      <c r="N20" s="5" t="inlineStr">
        <is>
          <t>Ingroup</t>
        </is>
      </c>
      <c r="O20" s="5" t="inlineStr">
        <is>
          <t>Yes — tip in 61-taxon IQ-TREE</t>
        </is>
      </c>
      <c r="P20" s="5" t="inlineStr">
        <is>
          <t>YES — one or more '?' traits filled by folklore synthesis</t>
        </is>
      </c>
      <c r="Q20" s="5" t="n">
        <v>1</v>
      </c>
      <c r="R20" s="5" t="n">
        <v>2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1</v>
      </c>
      <c r="Y20" s="5" t="n">
        <v>0</v>
      </c>
      <c r="Z20" s="5" t="n">
        <v>1</v>
      </c>
      <c r="AA20" s="5" t="n">
        <v>1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</row>
    <row r="21" ht="52" customHeight="1">
      <c r="A21" s="6" t="inlineStr">
        <is>
          <t>Begu Ganjang Sumatra</t>
        </is>
      </c>
      <c r="B21" s="6" t="inlineStr">
        <is>
          <t>begu_ganjang_sumatra_indonesia</t>
        </is>
      </c>
      <c r="C21" s="6" t="inlineStr">
        <is>
          <t>Sumatra</t>
        </is>
      </c>
      <c r="D21" s="6" t="inlineStr">
        <is>
          <t>Minangkabau / Batak / Malay (Sumatra)</t>
        </is>
      </c>
      <c r="E21" s="6" t="inlineStr">
        <is>
          <t>ElementalDemonic</t>
        </is>
      </c>
      <c r="F21" s="6" t="inlineStr">
        <is>
          <t>Elongated / stretching humanoid</t>
        </is>
      </c>
      <c r="G21" s="6" t="inlineStr">
        <is>
          <t>Life force / soul</t>
        </is>
      </c>
      <c r="H21" s="6" t="n">
        <v>4</v>
      </c>
      <c r="I21" s="6" t="inlineStr">
        <is>
          <t>Folklore-synthesis summary: a elementaldemonic figure in Sumatra tradition; behaviour and origin motifs as coded in the source files. Treat as a comparative motif summary, not a single canonical tale — local variants differ by village and teller.</t>
        </is>
      </c>
      <c r="J21" s="6" t="inlineStr">
        <is>
          <t>Elongated / stretching humanoid. See Morphology and trait matrix for coded features (hair/fur, head detachment, fire, flight).</t>
        </is>
      </c>
      <c r="K21" s="6" t="inlineStr">
        <is>
          <t>Grows taller when looked atstrangles</t>
        </is>
      </c>
      <c r="L21" s="6" t="inlineStr">
        <is>
          <t>Destruction of summoning materials</t>
        </is>
      </c>
      <c r="M21" s="6" t="inlineStr">
        <is>
          <t>Recurring figure in Indonesian horror film, television, comics and oral storytelling; specific portrayals vary widely by medium and region.</t>
        </is>
      </c>
      <c r="N21" s="6" t="inlineStr">
        <is>
          <t>Ingroup</t>
        </is>
      </c>
      <c r="O21" s="6" t="inlineStr">
        <is>
          <t>Yes — tip in 61-taxon IQ-TREE</t>
        </is>
      </c>
      <c r="P21" s="6" t="inlineStr">
        <is>
          <t>YES — one or more '?' traits filled by folklore synthesis</t>
        </is>
      </c>
      <c r="Q21" s="6" t="n">
        <v>1</v>
      </c>
      <c r="R21" s="6" t="n">
        <v>2</v>
      </c>
      <c r="S21" s="6" t="n">
        <v>0</v>
      </c>
      <c r="T21" s="6" t="n">
        <v>1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  <c r="AF21" s="6" t="n">
        <v>0</v>
      </c>
      <c r="AG21" s="6" t="n">
        <v>1</v>
      </c>
      <c r="AH21" s="6" t="n">
        <v>0</v>
      </c>
    </row>
    <row r="22" ht="52" customHeight="1">
      <c r="A22" s="5" t="inlineStr">
        <is>
          <t>Si Manis Jembatan Ancol Java</t>
        </is>
      </c>
      <c r="B22" s="5" t="inlineStr">
        <is>
          <t>si_manis_jembatan_ancol_java</t>
        </is>
      </c>
      <c r="C22" s="5" t="inlineStr">
        <is>
          <t>Java</t>
        </is>
      </c>
      <c r="D22" s="5" t="inlineStr">
        <is>
          <t>Javanese</t>
        </is>
      </c>
      <c r="E22" s="5" t="inlineStr">
        <is>
          <t>Vengeful Female</t>
        </is>
      </c>
      <c r="F22" s="5" t="inlineStr">
        <is>
          <t>Spectral female</t>
        </is>
      </c>
      <c r="G22" s="5" t="inlineStr">
        <is>
          <t>Blood / fetuses</t>
        </is>
      </c>
      <c r="H22" s="5" t="n">
        <v>5</v>
      </c>
      <c r="I22" s="5" t="inlineStr">
        <is>
          <t>Folklore-synthesis summary: a vengeful female figure in Java tradition; behaviour and origin motifs as coded in the source files. Treat as a comparative motif summary, not a single canonical tale — local variants differ by village and teller.</t>
        </is>
      </c>
      <c r="J22" s="5" t="inlineStr">
        <is>
          <t>Spectral female. See Morphology and trait matrix for coded features (hair/fur, head detachment, fire, flight).</t>
        </is>
      </c>
      <c r="K22" s="5" t="inlineStr">
        <is>
          <t>Appears only at specific haunted location</t>
        </is>
      </c>
      <c r="L22" s="5" t="inlineStr">
        <is>
          <t>Maternal mortality origin</t>
        </is>
      </c>
      <c r="M22" s="5" t="inlineStr">
        <is>
          <t>Recurring figure in Indonesian horror film, television, comics and oral storytelling; specific portrayals vary widely by medium and region.</t>
        </is>
      </c>
      <c r="N22" s="5" t="inlineStr">
        <is>
          <t>Ingroup</t>
        </is>
      </c>
      <c r="O22" s="5" t="inlineStr">
        <is>
          <t>Yes — tip in 61-taxon IQ-TREE</t>
        </is>
      </c>
      <c r="P22" s="5" t="inlineStr">
        <is>
          <t>YES — one or more '?' traits filled by folklore synthesis</t>
        </is>
      </c>
      <c r="Q22" s="5" t="n">
        <v>1</v>
      </c>
      <c r="R22" s="5" t="n">
        <v>1</v>
      </c>
      <c r="S22" s="5" t="n">
        <v>1</v>
      </c>
      <c r="T22" s="5" t="n">
        <v>0</v>
      </c>
      <c r="U22" s="5" t="n">
        <v>0</v>
      </c>
      <c r="V22" s="5" t="n">
        <v>1</v>
      </c>
      <c r="W22" s="5" t="n">
        <v>1</v>
      </c>
      <c r="X22" s="5" t="n">
        <v>1</v>
      </c>
      <c r="Y22" s="5" t="n">
        <v>0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1</v>
      </c>
      <c r="AG22" s="5" t="n">
        <v>0</v>
      </c>
      <c r="AH22" s="5" t="n">
        <v>0</v>
      </c>
    </row>
    <row r="23" ht="52" customHeight="1">
      <c r="A23" s="6" t="inlineStr">
        <is>
          <t>Penanggalan Malaysia</t>
        </is>
      </c>
      <c r="B23" s="6" t="inlineStr">
        <is>
          <t>penanggalan_malaysia</t>
        </is>
      </c>
      <c r="C23" s="6" t="inlineStr">
        <is>
          <t>Malaysia (Outgroup)</t>
        </is>
      </c>
      <c r="D23" s="6" t="inlineStr">
        <is>
          <t>Malay (Peninsular Malaysia) — outgroup comparator</t>
        </is>
      </c>
      <c r="E23" s="6" t="inlineStr">
        <is>
          <t>Volant Viscerophage</t>
        </is>
      </c>
      <c r="F23" s="6" t="inlineStr">
        <is>
          <t>Detached flying head</t>
        </is>
      </c>
      <c r="G23" s="6" t="inlineStr">
        <is>
          <t>Blood / fetuses</t>
        </is>
      </c>
      <c r="H23" s="6" t="n">
        <v>5</v>
      </c>
      <c r="I23" s="6" t="inlineStr">
        <is>
          <t>Folklore-synthesis summary: a volant viscerophage figure in Malaysia (Outgroup) tradition; behaviour and origin motifs as coded in the source files. Treat as a comparative motif summary, not a single canonical tale — local variants differ by village and teller.</t>
        </is>
      </c>
      <c r="J23" s="6" t="inlineStr">
        <is>
          <t>Detached flying head. See Morphology and trait matrix for coded features (hair/fur, head detachment, fire, flight).</t>
        </is>
      </c>
      <c r="K23" s="6" t="inlineStr">
        <is>
          <t>Meditation in vinegar</t>
        </is>
      </c>
      <c r="L23" s="6" t="inlineStr">
        <is>
          <t>Vinegarbroken glass</t>
        </is>
      </c>
      <c r="M23" s="6" t="inlineStr">
        <is>
          <t>Recurring figure in Indonesian horror film, television, comics and oral storytelling; specific portrayals vary widely by medium and region.</t>
        </is>
      </c>
      <c r="N23" s="6" t="inlineStr">
        <is>
          <t>Outgroup</t>
        </is>
      </c>
      <c r="O23" s="6" t="inlineStr">
        <is>
          <t>Yes — tip in 61-taxon IQ-TREE</t>
        </is>
      </c>
      <c r="P23" s="6" t="inlineStr">
        <is>
          <t>YES — one or more '?' traits filled by folklore synthesis</t>
        </is>
      </c>
      <c r="Q23" s="6" t="n">
        <v>1</v>
      </c>
      <c r="R23" s="6" t="n">
        <v>2</v>
      </c>
      <c r="S23" s="6" t="n">
        <v>0</v>
      </c>
      <c r="T23" s="6" t="n">
        <v>0</v>
      </c>
      <c r="U23" s="6" t="n">
        <v>1</v>
      </c>
      <c r="V23" s="6" t="n">
        <v>0</v>
      </c>
      <c r="W23" s="6" t="n">
        <v>1</v>
      </c>
      <c r="X23" s="6" t="n">
        <v>1</v>
      </c>
      <c r="Y23" s="6" t="n">
        <v>0</v>
      </c>
      <c r="Z23" s="6" t="n">
        <v>0</v>
      </c>
      <c r="AA23" s="6" t="n">
        <v>0</v>
      </c>
      <c r="AB23" s="6" t="n">
        <v>1</v>
      </c>
      <c r="AC23" s="6" t="n">
        <v>0</v>
      </c>
      <c r="AD23" s="6" t="n">
        <v>0</v>
      </c>
      <c r="AE23" s="6" t="n">
        <v>0</v>
      </c>
      <c r="AF23" s="6" t="n">
        <v>0</v>
      </c>
      <c r="AG23" s="6" t="n">
        <v>1</v>
      </c>
      <c r="AH23" s="6" t="n">
        <v>1</v>
      </c>
    </row>
    <row r="24" ht="52" customHeight="1">
      <c r="A24" s="5" t="inlineStr">
        <is>
          <t>Manananggal Philippines</t>
        </is>
      </c>
      <c r="B24" s="5" t="inlineStr">
        <is>
          <t>manananggal_philippines</t>
        </is>
      </c>
      <c r="C24" s="5" t="inlineStr">
        <is>
          <t>Philippines (Outgroup)</t>
        </is>
      </c>
      <c r="D24" s="5" t="inlineStr">
        <is>
          <t>Filipino — outgroup comparator</t>
        </is>
      </c>
      <c r="E24" s="5" t="inlineStr">
        <is>
          <t>Volant Viscerophage</t>
        </is>
      </c>
      <c r="F24" s="5" t="inlineStr">
        <is>
          <t>Detached upper torso</t>
        </is>
      </c>
      <c r="G24" s="5" t="inlineStr">
        <is>
          <t>Blood / fetuses</t>
        </is>
      </c>
      <c r="H24" s="5" t="n">
        <v>5</v>
      </c>
      <c r="I24" s="5" t="inlineStr">
        <is>
          <t>Folklore-synthesis summary: a volant viscerophage figure in Philippines (Outgroup) tradition; behaviour and origin motifs as coded in the source files. Treat as a comparative motif summary, not a single canonical tale — local variants differ by village and teller.</t>
        </is>
      </c>
      <c r="J24" s="5" t="inlineStr">
        <is>
          <t>Detached upper torso. See Morphology and trait matrix for coded features (hair/fur, head detachment, fire, flight).</t>
        </is>
      </c>
      <c r="K24" s="5" t="inlineStr">
        <is>
          <t>Tiktik bird signal</t>
        </is>
      </c>
      <c r="L24" s="5" t="inlineStr">
        <is>
          <t>Saltashgarlic on lower torso</t>
        </is>
      </c>
      <c r="M24" s="5" t="inlineStr">
        <is>
          <t>Recurring figure in Indonesian horror film, television, comics and oral storytelling; specific portrayals vary widely by medium and region.</t>
        </is>
      </c>
      <c r="N24" s="5" t="inlineStr">
        <is>
          <t>Outgroup</t>
        </is>
      </c>
      <c r="O24" s="5" t="inlineStr">
        <is>
          <t>Yes — tip in 61-taxon IQ-TREE</t>
        </is>
      </c>
      <c r="P24" s="5" t="inlineStr">
        <is>
          <t>No — coding as in source file</t>
        </is>
      </c>
      <c r="Q24" s="5" t="n">
        <v>1</v>
      </c>
      <c r="R24" s="5" t="n">
        <v>1</v>
      </c>
      <c r="S24" s="5" t="n">
        <v>0</v>
      </c>
      <c r="T24" s="5" t="n">
        <v>0</v>
      </c>
      <c r="U24" s="5" t="n">
        <v>1</v>
      </c>
      <c r="V24" s="5" t="n">
        <v>0</v>
      </c>
      <c r="W24" s="5" t="n">
        <v>1</v>
      </c>
      <c r="X24" s="5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1</v>
      </c>
      <c r="AG24" s="5" t="n">
        <v>0</v>
      </c>
      <c r="AH24" s="5" t="n">
        <v>1</v>
      </c>
    </row>
    <row r="25" ht="52" customHeight="1">
      <c r="A25" s="6" t="inlineStr">
        <is>
          <t>Krasue Ap Thailand Cambodia</t>
        </is>
      </c>
      <c r="B25" s="6" t="inlineStr">
        <is>
          <t>krasue_ap_thailand_cambodia</t>
        </is>
      </c>
      <c r="C25" s="6" t="inlineStr">
        <is>
          <t>Thailand / Cambodia (Outgroup)</t>
        </is>
      </c>
      <c r="D25" s="6" t="inlineStr">
        <is>
          <t>Thai / Khmer — outgroup comparator</t>
        </is>
      </c>
      <c r="E25" s="6" t="inlineStr">
        <is>
          <t>Volant Viscerophage</t>
        </is>
      </c>
      <c r="F25" s="6" t="inlineStr">
        <is>
          <t>Detached flying head</t>
        </is>
      </c>
      <c r="G25" s="6" t="inlineStr">
        <is>
          <t>Blood / fetuses</t>
        </is>
      </c>
      <c r="H25" s="6" t="n">
        <v>5</v>
      </c>
      <c r="I25" s="6" t="inlineStr">
        <is>
          <t>Folklore-synthesis summary: a volant viscerophage figure in Thailand / Cambodia (Outgroup) tradition; behaviour and origin motifs as coded in the source files. Treat as a comparative motif summary, not a single canonical tale — local variants differ by village and teller.</t>
        </is>
      </c>
      <c r="J25" s="6" t="inlineStr">
        <is>
          <t>Detached flying head. See Morphology and trait matrix for coded features (hair/fur, head detachment, fire, flight).</t>
        </is>
      </c>
      <c r="K25" s="6" t="inlineStr">
        <is>
          <t>Punitive cursegluttony</t>
        </is>
      </c>
      <c r="L25" s="6" t="inlineStr">
        <is>
          <t>Destroy hidden host body</t>
        </is>
      </c>
      <c r="M25" s="6" t="inlineStr">
        <is>
          <t>Recurring figure in Indonesian horror film, television, comics and oral storytelling; specific portrayals vary widely by medium and region.</t>
        </is>
      </c>
      <c r="N25" s="6" t="inlineStr">
        <is>
          <t>Outgroup</t>
        </is>
      </c>
      <c r="O25" s="6" t="inlineStr">
        <is>
          <t>Yes — tip in 61-taxon IQ-TREE</t>
        </is>
      </c>
      <c r="P25" s="6" t="inlineStr">
        <is>
          <t>No — coding as in source file</t>
        </is>
      </c>
      <c r="Q25" s="6" t="n">
        <v>1</v>
      </c>
      <c r="R25" s="6" t="n">
        <v>1</v>
      </c>
      <c r="S25" s="6" t="n">
        <v>0</v>
      </c>
      <c r="T25" s="6" t="n">
        <v>1</v>
      </c>
      <c r="U25" s="6" t="n">
        <v>1</v>
      </c>
      <c r="V25" s="6" t="n">
        <v>0</v>
      </c>
      <c r="W25" s="6" t="n">
        <v>0</v>
      </c>
      <c r="X25" s="6" t="n">
        <v>1</v>
      </c>
      <c r="Y25" s="6" t="n">
        <v>0</v>
      </c>
      <c r="Z25" s="6" t="n">
        <v>0</v>
      </c>
      <c r="AA25" s="6" t="n">
        <v>0</v>
      </c>
      <c r="AB25" s="6" t="n">
        <v>1</v>
      </c>
      <c r="AC25" s="6" t="n">
        <v>0</v>
      </c>
      <c r="AD25" s="6" t="n">
        <v>0</v>
      </c>
      <c r="AE25" s="6" t="n">
        <v>0</v>
      </c>
      <c r="AF25" s="6" t="n">
        <v>1</v>
      </c>
      <c r="AG25" s="6" t="n">
        <v>0</v>
      </c>
      <c r="AH25" s="6" t="n">
        <v>1</v>
      </c>
    </row>
    <row r="26" ht="52" customHeight="1">
      <c r="A26" s="5" t="inlineStr">
        <is>
          <t>Langsuyar Malaysia</t>
        </is>
      </c>
      <c r="B26" s="5" t="inlineStr">
        <is>
          <t>langsuyar_malaysia</t>
        </is>
      </c>
      <c r="C26" s="5" t="inlineStr">
        <is>
          <t>Malaysia (Outgroup)</t>
        </is>
      </c>
      <c r="D26" s="5" t="inlineStr">
        <is>
          <t>Malay (Peninsular Malaysia) — outgroup comparator</t>
        </is>
      </c>
      <c r="E26" s="5" t="inlineStr">
        <is>
          <t>Vengeful Female</t>
        </is>
      </c>
      <c r="F26" s="5" t="inlineStr">
        <is>
          <t>Spectral female</t>
        </is>
      </c>
      <c r="G26" s="5" t="inlineStr">
        <is>
          <t>Blood / fetuses</t>
        </is>
      </c>
      <c r="H26" s="5" t="n">
        <v>5</v>
      </c>
      <c r="I26" s="5" t="inlineStr">
        <is>
          <t>Folklore-synthesis summary: a vengeful female figure in Malaysia (Outgroup) tradition; behaviour and origin motifs as coded in the source files. Treat as a comparative motif summary, not a single canonical tale — local variants differ by village and teller.</t>
        </is>
      </c>
      <c r="J26" s="5" t="inlineStr">
        <is>
          <t>Spectral female. See Morphology and trait matrix for coded features (hair/fur, head detachment, fire, flight).</t>
        </is>
      </c>
      <c r="K26" s="5" t="inlineStr">
        <is>
          <t>Transforms into bird</t>
        </is>
      </c>
      <c r="L26" s="5" t="inlineStr">
        <is>
          <t>Glass beadsneedleseggs</t>
        </is>
      </c>
      <c r="M26" s="5" t="inlineStr">
        <is>
          <t>Recurring figure in Indonesian horror film, television, comics and oral storytelling; specific portrayals vary widely by medium and region.</t>
        </is>
      </c>
      <c r="N26" s="5" t="inlineStr">
        <is>
          <t>Outgroup</t>
        </is>
      </c>
      <c r="O26" s="5" t="inlineStr">
        <is>
          <t>Yes — tip in 61-taxon IQ-TREE</t>
        </is>
      </c>
      <c r="P26" s="5" t="inlineStr">
        <is>
          <t>YES — one or more '?' traits filled by folklore synthesis</t>
        </is>
      </c>
      <c r="Q26" s="5" t="n">
        <v>1</v>
      </c>
      <c r="R26" s="5" t="n">
        <v>1</v>
      </c>
      <c r="S26" s="5" t="n">
        <v>1</v>
      </c>
      <c r="T26" s="5" t="n">
        <v>0</v>
      </c>
      <c r="U26" s="5" t="n">
        <v>0</v>
      </c>
      <c r="V26" s="5" t="n">
        <v>1</v>
      </c>
      <c r="W26" s="5" t="n">
        <v>1</v>
      </c>
      <c r="X26" s="5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1</v>
      </c>
      <c r="AG26" s="5" t="n">
        <v>0</v>
      </c>
      <c r="AH26" s="5" t="n">
        <v>1</v>
      </c>
    </row>
    <row r="27" ht="52" customHeight="1">
      <c r="A27" s="6" t="inlineStr">
        <is>
          <t>Leak Bali</t>
        </is>
      </c>
      <c r="B27" s="6" t="inlineStr">
        <is>
          <t>leak_bali_indonesia</t>
        </is>
      </c>
      <c r="C27" s="6" t="inlineStr">
        <is>
          <t>Bali</t>
        </is>
      </c>
      <c r="D27" s="6" t="inlineStr">
        <is>
          <t>Balinese (Hindu-Balinese tradition)</t>
        </is>
      </c>
      <c r="E27" s="6" t="inlineStr">
        <is>
          <t>TherianthropeShapeshifter</t>
        </is>
      </c>
      <c r="F27" s="6" t="inlineStr">
        <is>
          <t>Tiger–human hybrid</t>
        </is>
      </c>
      <c r="G27" s="6" t="inlineStr">
        <is>
          <t>Non-consumptive (no feeding)</t>
        </is>
      </c>
      <c r="H27" s="6" t="n">
        <v>4</v>
      </c>
      <c r="I27" s="6" t="inlineStr">
        <is>
          <t>Folklore-synthesis summary: a therianthropeshapeshifter figure in Bali tradition; behaviour and origin motifs as coded in the source files. Treat as a comparative motif summary, not a single canonical tale — local variants differ by village and teller.</t>
        </is>
      </c>
      <c r="J27" s="6" t="inlineStr">
        <is>
          <t>Tiger–human hybrid. See Morphology and trait matrix for coded features (hair/fur, head detachment, fire, flight).</t>
        </is>
      </c>
      <c r="K27" s="6" t="inlineStr">
        <is>
          <t>Ritual selftransformation via black magic</t>
        </is>
      </c>
      <c r="L27" s="6" t="inlineStr">
        <is>
          <t>Unknown</t>
        </is>
      </c>
      <c r="M27" s="6" t="inlineStr">
        <is>
          <t>Recurring figure in Indonesian horror film, television, comics and oral storytelling; specific portrayals vary widely by medium and region.</t>
        </is>
      </c>
      <c r="N27" s="6" t="inlineStr">
        <is>
          <t>Ingroup</t>
        </is>
      </c>
      <c r="O27" s="6" t="inlineStr">
        <is>
          <t>Yes — tip in 61-taxon IQ-TREE</t>
        </is>
      </c>
      <c r="P27" s="6" t="inlineStr">
        <is>
          <t>No — coding as in source file</t>
        </is>
      </c>
      <c r="Q27" s="6" t="n">
        <v>1</v>
      </c>
      <c r="R27" s="6" t="n">
        <v>2</v>
      </c>
      <c r="S27" s="6" t="n">
        <v>0</v>
      </c>
      <c r="T27" s="6" t="n">
        <v>0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0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0</v>
      </c>
      <c r="AE27" s="6" t="n">
        <v>0</v>
      </c>
      <c r="AF27" s="6" t="n">
        <v>0</v>
      </c>
      <c r="AG27" s="6" t="n">
        <v>1</v>
      </c>
      <c r="AH27" s="6" t="n">
        <v>0</v>
      </c>
    </row>
    <row r="28" ht="52" customHeight="1">
      <c r="A28" s="5" t="inlineStr">
        <is>
          <t>Rangda Bali</t>
        </is>
      </c>
      <c r="B28" s="5" t="inlineStr">
        <is>
          <t>rangda_bali_indonesia</t>
        </is>
      </c>
      <c r="C28" s="5" t="inlineStr">
        <is>
          <t>Bali</t>
        </is>
      </c>
      <c r="D28" s="5" t="inlineStr">
        <is>
          <t>Balinese (Hindu-Balinese tradition)</t>
        </is>
      </c>
      <c r="E28" s="5" t="inlineStr">
        <is>
          <t>ElementalDemonic</t>
        </is>
      </c>
      <c r="F28" s="5" t="inlineStr">
        <is>
          <t>Gigantic humanoid / ogre</t>
        </is>
      </c>
      <c r="G28" s="5" t="inlineStr">
        <is>
          <t>Flesh / meat / fauna</t>
        </is>
      </c>
      <c r="H28" s="5" t="n">
        <v>4</v>
      </c>
      <c r="I28" s="5" t="inlineStr">
        <is>
          <t>Folklore-synthesis summary: a elementaldemonic figure in Bali tradition; behaviour and origin motifs as coded in the source files. Treat as a comparative motif summary, not a single canonical tale — local variants differ by village and teller.</t>
        </is>
      </c>
      <c r="J28" s="5" t="inlineStr">
        <is>
          <t>Gigantic humanoid / ogre. See Morphology and trait matrix for coded features (hair/fur, head detachment, fire, flight).</t>
        </is>
      </c>
      <c r="K28" s="5" t="inlineStr">
        <is>
          <t>Seducescorrupts mendemands blood sacrifice</t>
        </is>
      </c>
      <c r="L28" s="5" t="inlineStr">
        <is>
          <t>Holy prayerswater</t>
        </is>
      </c>
      <c r="M28" s="5" t="inlineStr">
        <is>
          <t>Recurring figure in Indonesian horror film, television, comics and oral storytelling; specific portrayals vary widely by medium and region.</t>
        </is>
      </c>
      <c r="N28" s="5" t="inlineStr">
        <is>
          <t>Ingroup</t>
        </is>
      </c>
      <c r="O28" s="5" t="inlineStr">
        <is>
          <t>Yes — tip in 61-taxon IQ-TREE</t>
        </is>
      </c>
      <c r="P28" s="5" t="inlineStr">
        <is>
          <t>No — coding as in source file</t>
        </is>
      </c>
      <c r="Q28" s="5" t="n">
        <v>1</v>
      </c>
      <c r="R28" s="5" t="n">
        <v>1</v>
      </c>
      <c r="S28" s="5" t="n">
        <v>0</v>
      </c>
      <c r="T28" s="5" t="n">
        <v>0</v>
      </c>
      <c r="U28" s="5" t="n">
        <v>0</v>
      </c>
      <c r="V28" s="5" t="n">
        <v>1</v>
      </c>
      <c r="W28" s="5" t="n">
        <v>1</v>
      </c>
      <c r="X28" s="5" t="n">
        <v>1</v>
      </c>
      <c r="Y28" s="5" t="n">
        <v>0</v>
      </c>
      <c r="Z28" s="5" t="n">
        <v>0</v>
      </c>
      <c r="AA28" s="5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1</v>
      </c>
      <c r="AH28" s="5" t="n">
        <v>0</v>
      </c>
    </row>
    <row r="29" ht="52" customHeight="1">
      <c r="A29" s="6" t="inlineStr">
        <is>
          <t>Barong Bali</t>
        </is>
      </c>
      <c r="B29" s="6" t="inlineStr">
        <is>
          <t>barong_bali_indonesia</t>
        </is>
      </c>
      <c r="C29" s="6" t="inlineStr">
        <is>
          <t>Bali</t>
        </is>
      </c>
      <c r="D29" s="6" t="inlineStr">
        <is>
          <t>Balinese (Hindu-Balinese tradition)</t>
        </is>
      </c>
      <c r="E29" s="6" t="inlineStr">
        <is>
          <t>ElementalDemonic</t>
        </is>
      </c>
      <c r="F29" s="6" t="inlineStr">
        <is>
          <t>Gigantic humanoid / ogre</t>
        </is>
      </c>
      <c r="G29" s="6" t="inlineStr">
        <is>
          <t>Blood / fetuses</t>
        </is>
      </c>
      <c r="H29" s="6" t="n">
        <v>5</v>
      </c>
      <c r="I29" s="6" t="inlineStr">
        <is>
          <t>Folklore-synthesis summary: a elementaldemonic figure in Bali tradition; behaviour and origin motifs as coded in the source files. Treat as a comparative motif summary, not a single canonical tale — local variants differ by village and teller.</t>
        </is>
      </c>
      <c r="J29" s="6" t="inlineStr">
        <is>
          <t>Gigantic humanoid / ogre. See Morphology and trait matrix for coded features (hair/fur, head detachment, fire, flight).</t>
        </is>
      </c>
      <c r="K29" s="6" t="inlineStr">
        <is>
          <t>Cosmic guardianbattles evil entities</t>
        </is>
      </c>
      <c r="L29" s="6" t="inlineStr">
        <is>
          <t>Specific ritual offeringsBanyan wood</t>
        </is>
      </c>
      <c r="M29" s="6" t="inlineStr">
        <is>
          <t>Recurring figure in Indonesian horror film, television, comics and oral storytelling; specific portrayals vary widely by medium and region.</t>
        </is>
      </c>
      <c r="N29" s="6" t="inlineStr">
        <is>
          <t>Outgroup</t>
        </is>
      </c>
      <c r="O29" s="6" t="inlineStr">
        <is>
          <t>Yes — tip in 61-taxon IQ-TREE</t>
        </is>
      </c>
      <c r="P29" s="6" t="inlineStr">
        <is>
          <t>YES — one or more '?' traits filled by folklore synthesis</t>
        </is>
      </c>
      <c r="Q29" s="6" t="n">
        <v>0</v>
      </c>
      <c r="R29" s="6" t="n">
        <v>2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0</v>
      </c>
    </row>
    <row r="30" ht="52" customHeight="1">
      <c r="A30" s="5" t="inlineStr">
        <is>
          <t>Nyi Roro Kidul Java Bali</t>
        </is>
      </c>
      <c r="B30" s="5" t="inlineStr">
        <is>
          <t>nyi_roro_kidul_java_bali</t>
        </is>
      </c>
      <c r="C30" s="5" t="inlineStr">
        <is>
          <t>Bali</t>
        </is>
      </c>
      <c r="D30" s="5" t="inlineStr">
        <is>
          <t>Javanese</t>
        </is>
      </c>
      <c r="E30" s="5" t="inlineStr">
        <is>
          <t>TherianthropeShapeshifter</t>
        </is>
      </c>
      <c r="F30" s="5" t="inlineStr">
        <is>
          <t>Serpent / naga hybrid</t>
        </is>
      </c>
      <c r="G30" s="5" t="inlineStr">
        <is>
          <t>Life force / soul</t>
        </is>
      </c>
      <c r="H30" s="5" t="n">
        <v>4</v>
      </c>
      <c r="I30" s="5" t="inlineStr">
        <is>
          <t>Folklore-synthesis summary: a therianthropeshapeshifter figure in Bali tradition; behaviour and origin motifs as coded in the source files. Treat as a comparative motif summary, not a single canonical tale — local variants differ by village and teller.</t>
        </is>
      </c>
      <c r="J30" s="5" t="inlineStr">
        <is>
          <t>Serpent / naga hybrid. See Morphology and trait matrix for coded features (hair/fur, head detachment, fire, flight).</t>
        </is>
      </c>
      <c r="K30" s="5" t="inlineStr">
        <is>
          <t>Seduces fishermencontrols sea wealth</t>
        </is>
      </c>
      <c r="L30" s="5" t="inlineStr">
        <is>
          <t>Unknown</t>
        </is>
      </c>
      <c r="M30" s="5" t="inlineStr">
        <is>
          <t>Recurring figure in Indonesian horror film, television, comics and oral storytelling; specific portrayals vary widely by medium and region.</t>
        </is>
      </c>
      <c r="N30" s="5" t="inlineStr">
        <is>
          <t>Ingroup</t>
        </is>
      </c>
      <c r="O30" s="5" t="inlineStr">
        <is>
          <t>Yes — tip in 61-taxon IQ-TREE</t>
        </is>
      </c>
      <c r="P30" s="5" t="inlineStr">
        <is>
          <t>No — coding as in source file</t>
        </is>
      </c>
      <c r="Q30" s="5" t="n">
        <v>1</v>
      </c>
      <c r="R30" s="5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1</v>
      </c>
      <c r="AE30" s="5" t="n">
        <v>0</v>
      </c>
      <c r="AF30" s="5" t="n">
        <v>0</v>
      </c>
      <c r="AG30" s="5" t="n">
        <v>1</v>
      </c>
      <c r="AH30" s="5" t="n">
        <v>0</v>
      </c>
    </row>
    <row r="31" ht="52" customHeight="1">
      <c r="A31" s="6" t="inlineStr">
        <is>
          <t>Jero Gede Mecaling Bali</t>
        </is>
      </c>
      <c r="B31" s="6" t="inlineStr">
        <is>
          <t>jero_gede_mecaling_bali</t>
        </is>
      </c>
      <c r="C31" s="6" t="inlineStr">
        <is>
          <t>Bali</t>
        </is>
      </c>
      <c r="D31" s="6" t="inlineStr">
        <is>
          <t>Balinese (Hindu-Balinese tradition)</t>
        </is>
      </c>
      <c r="E31" s="6" t="inlineStr">
        <is>
          <t>ElementalDemonic</t>
        </is>
      </c>
      <c r="F31" s="6" t="inlineStr">
        <is>
          <t>Gigantic humanoid / ogre</t>
        </is>
      </c>
      <c r="G31" s="6" t="inlineStr">
        <is>
          <t>Flesh / meat / fauna</t>
        </is>
      </c>
      <c r="H31" s="6" t="n">
        <v>4</v>
      </c>
      <c r="I31" s="6" t="inlineStr">
        <is>
          <t>Folklore-synthesis summary: a elementaldemonic figure in Bali tradition; behaviour and origin motifs as coded in the source files. Treat as a comparative motif summary, not a single canonical tale — local variants differ by village and teller.</t>
        </is>
      </c>
      <c r="J31" s="6" t="inlineStr">
        <is>
          <t>Gigantic humanoid / ogre. See Morphology and trait matrix for coded features (hair/fur, head detachment, fire, flight).</t>
        </is>
      </c>
      <c r="K31" s="6" t="inlineStr">
        <is>
          <t>Seducescorrupts mendemands blood sacrifice</t>
        </is>
      </c>
      <c r="L31" s="6" t="inlineStr">
        <is>
          <t>Defeated only by Barong ritual</t>
        </is>
      </c>
      <c r="M31" s="6" t="inlineStr">
        <is>
          <t>Recurring figure in Indonesian horror film, television, comics and oral storytelling; specific portrayals vary widely by medium and region.</t>
        </is>
      </c>
      <c r="N31" s="6" t="inlineStr">
        <is>
          <t>Ingroup</t>
        </is>
      </c>
      <c r="O31" s="6" t="inlineStr">
        <is>
          <t>Yes — tip in 61-taxon IQ-TREE</t>
        </is>
      </c>
      <c r="P31" s="6" t="inlineStr">
        <is>
          <t>YES — one or more '?' traits filled by folklore synthesis</t>
        </is>
      </c>
      <c r="Q31" s="6" t="n">
        <v>1</v>
      </c>
      <c r="R31" s="6" t="n">
        <v>2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1</v>
      </c>
      <c r="Y31" s="6" t="n">
        <v>0</v>
      </c>
      <c r="Z31" s="6" t="n">
        <v>1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1</v>
      </c>
      <c r="AH31" s="6" t="n">
        <v>0</v>
      </c>
    </row>
    <row r="32" ht="52" customHeight="1">
      <c r="A32" s="5" t="inlineStr">
        <is>
          <t>Celuluk Bali</t>
        </is>
      </c>
      <c r="B32" s="5" t="inlineStr">
        <is>
          <t>celuluk_bali_indonesia</t>
        </is>
      </c>
      <c r="C32" s="5" t="inlineStr">
        <is>
          <t>Bali</t>
        </is>
      </c>
      <c r="D32" s="5" t="inlineStr">
        <is>
          <t>Balinese (Hindu-Balinese tradition)</t>
        </is>
      </c>
      <c r="E32" s="5" t="inlineStr">
        <is>
          <t>Volant Viscerophage</t>
        </is>
      </c>
      <c r="F32" s="5" t="inlineStr">
        <is>
          <t>Bipedal primate / ape-like</t>
        </is>
      </c>
      <c r="G32" s="5" t="inlineStr">
        <is>
          <t>Blood / fetuses</t>
        </is>
      </c>
      <c r="H32" s="5" t="n">
        <v>5</v>
      </c>
      <c r="I32" s="5" t="inlineStr">
        <is>
          <t>Folklore-synthesis summary: a volant viscerophage figure in Bali tradition; behaviour and origin motifs as coded in the source files. Treat as a comparative motif summary, not a single canonical tale — local variants differ by village and teller.</t>
        </is>
      </c>
      <c r="J32" s="5" t="inlineStr">
        <is>
          <t>Bipedal primate / ape-like. See Morphology and trait matrix for coded features (hair/fur, head detachment, fire, flight).</t>
        </is>
      </c>
      <c r="K32" s="5" t="inlineStr">
        <is>
          <t>Unknown</t>
        </is>
      </c>
      <c r="L32" s="5" t="inlineStr">
        <is>
          <t>Holy prayerswater</t>
        </is>
      </c>
      <c r="M32" s="5" t="inlineStr">
        <is>
          <t>Recurring figure in Indonesian horror film, television, comics and oral storytelling; specific portrayals vary widely by medium and region.</t>
        </is>
      </c>
      <c r="N32" s="5" t="inlineStr">
        <is>
          <t>Ingroup</t>
        </is>
      </c>
      <c r="O32" s="5" t="inlineStr">
        <is>
          <t>Yes — tip in 61-taxon IQ-TREE</t>
        </is>
      </c>
      <c r="P32" s="5" t="inlineStr">
        <is>
          <t>YES — one or more '?' traits filled by folklore synthesis</t>
        </is>
      </c>
      <c r="Q32" s="5" t="n">
        <v>1</v>
      </c>
      <c r="R32" s="5" t="n">
        <v>2</v>
      </c>
      <c r="S32" s="5" t="n">
        <v>0</v>
      </c>
      <c r="T32" s="5" t="n">
        <v>0</v>
      </c>
      <c r="U32" s="5" t="n">
        <v>1</v>
      </c>
      <c r="V32" s="5" t="n">
        <v>0</v>
      </c>
      <c r="W32" s="5" t="n">
        <v>1</v>
      </c>
      <c r="X32" s="5" t="n">
        <v>1</v>
      </c>
      <c r="Y32" s="5" t="n">
        <v>0</v>
      </c>
      <c r="Z32" s="5" t="n">
        <v>1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1</v>
      </c>
      <c r="AH32" s="5" t="n">
        <v>0</v>
      </c>
    </row>
    <row r="33" ht="52" customHeight="1">
      <c r="A33" s="6" t="inlineStr">
        <is>
          <t>Kuyang Kalimantan</t>
        </is>
      </c>
      <c r="B33" s="6" t="inlineStr">
        <is>
          <t>kuyang_kalimantan_indonesia</t>
        </is>
      </c>
      <c r="C33" s="6" t="inlineStr">
        <is>
          <t>Kalimantan</t>
        </is>
      </c>
      <c r="D33" s="6" t="inlineStr">
        <is>
          <t>Dayak / Banjar / Malay (Kalimantan)</t>
        </is>
      </c>
      <c r="E33" s="6" t="inlineStr">
        <is>
          <t>Volant Viscerophage</t>
        </is>
      </c>
      <c r="F33" s="6" t="inlineStr">
        <is>
          <t>Detached flying head</t>
        </is>
      </c>
      <c r="G33" s="6" t="inlineStr">
        <is>
          <t>Blood / fetuses</t>
        </is>
      </c>
      <c r="H33" s="6" t="n">
        <v>5</v>
      </c>
      <c r="I33" s="6" t="inlineStr">
        <is>
          <t>Folklore-synthesis summary: a volant viscerophage figure in Kalimantan tradition; behaviour and origin motifs as coded in the source files. Treat as a comparative motif summary, not a single canonical tale — local variants differ by village and teller.</t>
        </is>
      </c>
      <c r="J33" s="6" t="inlineStr">
        <is>
          <t>Detached flying head. See Morphology and trait matrix for coded features (hair/fur, head detachment, fire, flight).</t>
        </is>
      </c>
      <c r="K33" s="6" t="inlineStr">
        <is>
          <t>Midwife camouflage</t>
        </is>
      </c>
      <c r="L33" s="6" t="inlineStr">
        <is>
          <t>Vinegarbroken glass</t>
        </is>
      </c>
      <c r="M33" s="6" t="inlineStr">
        <is>
          <t>Recurring figure in Indonesian horror film, television, comics and oral storytelling; specific portrayals vary widely by medium and region.</t>
        </is>
      </c>
      <c r="N33" s="6" t="inlineStr">
        <is>
          <t>Ingroup</t>
        </is>
      </c>
      <c r="O33" s="6" t="inlineStr">
        <is>
          <t>Yes — tip in 61-taxon IQ-TREE</t>
        </is>
      </c>
      <c r="P33" s="6" t="inlineStr">
        <is>
          <t>YES — one or more '?' traits filled by folklore synthesis</t>
        </is>
      </c>
      <c r="Q33" s="6" t="n">
        <v>1</v>
      </c>
      <c r="R33" s="6" t="n">
        <v>2</v>
      </c>
      <c r="S33" s="6" t="n">
        <v>0</v>
      </c>
      <c r="T33" s="6" t="n">
        <v>1</v>
      </c>
      <c r="U33" s="6" t="n">
        <v>1</v>
      </c>
      <c r="V33" s="6" t="n">
        <v>0</v>
      </c>
      <c r="W33" s="6" t="n">
        <v>1</v>
      </c>
      <c r="X33" s="6" t="n">
        <v>1</v>
      </c>
      <c r="Y33" s="6" t="n">
        <v>0</v>
      </c>
      <c r="Z33" s="6" t="n">
        <v>0</v>
      </c>
      <c r="AA33" s="6" t="n">
        <v>0</v>
      </c>
      <c r="AB33" s="6" t="n">
        <v>1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1</v>
      </c>
      <c r="AH33" s="6" t="n">
        <v>0</v>
      </c>
    </row>
    <row r="34" ht="52" customHeight="1">
      <c r="A34" s="5" t="inlineStr">
        <is>
          <t>Antu Gerugugu Kalimantan</t>
        </is>
      </c>
      <c r="B34" s="5" t="inlineStr">
        <is>
          <t>antu_gerugugu_kalimantan</t>
        </is>
      </c>
      <c r="C34" s="5" t="inlineStr">
        <is>
          <t>Kalimantan</t>
        </is>
      </c>
      <c r="D34" s="5" t="inlineStr">
        <is>
          <t>Dayak / Banjar / Malay (Kalimantan)</t>
        </is>
      </c>
      <c r="E34" s="5" t="inlineStr">
        <is>
          <t>Vengeful Female</t>
        </is>
      </c>
      <c r="F34" s="5" t="inlineStr">
        <is>
          <t>Spectral female</t>
        </is>
      </c>
      <c r="G34" s="5" t="inlineStr">
        <is>
          <t>Blood / fetuses</t>
        </is>
      </c>
      <c r="H34" s="5" t="n">
        <v>5</v>
      </c>
      <c r="I34" s="5" t="inlineStr">
        <is>
          <t>Folklore-synthesis summary: a vengeful female figure in Kalimantan tradition; behaviour and origin motifs as coded in the source files. Treat as a comparative motif summary, not a single canonical tale — local variants differ by village and teller.</t>
        </is>
      </c>
      <c r="J34" s="5" t="inlineStr">
        <is>
          <t>Spectral female. See Morphology and trait matrix for coded features (hair/fur, head detachment, fire, flight).</t>
        </is>
      </c>
      <c r="K34" s="5" t="inlineStr">
        <is>
          <t>Echoing laughweeping</t>
        </is>
      </c>
      <c r="L34" s="5" t="inlineStr">
        <is>
          <t>Sexual assault origin</t>
        </is>
      </c>
      <c r="M34" s="5" t="inlineStr">
        <is>
          <t>Recurring figure in Indonesian horror film, television, comics and oral storytelling; specific portrayals vary widely by medium and region.</t>
        </is>
      </c>
      <c r="N34" s="5" t="inlineStr">
        <is>
          <t>Ingroup</t>
        </is>
      </c>
      <c r="O34" s="5" t="inlineStr">
        <is>
          <t>Yes — tip in 61-taxon IQ-TREE</t>
        </is>
      </c>
      <c r="P34" s="5" t="inlineStr">
        <is>
          <t>YES — one or more '?' traits filled by folklore synthesis</t>
        </is>
      </c>
      <c r="Q34" s="5" t="n">
        <v>1</v>
      </c>
      <c r="R34" s="5" t="n">
        <v>1</v>
      </c>
      <c r="S34" s="5" t="n">
        <v>1</v>
      </c>
      <c r="T34" s="5" t="n">
        <v>1</v>
      </c>
      <c r="U34" s="5" t="n">
        <v>0</v>
      </c>
      <c r="V34" s="5" t="n">
        <v>1</v>
      </c>
      <c r="W34" s="5" t="n">
        <v>1</v>
      </c>
      <c r="X34" s="5" t="n">
        <v>1</v>
      </c>
      <c r="Y34" s="5" t="n">
        <v>0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1</v>
      </c>
      <c r="AG34" s="5" t="n">
        <v>0</v>
      </c>
      <c r="AH34" s="5" t="n">
        <v>0</v>
      </c>
    </row>
    <row r="35" ht="52" customHeight="1">
      <c r="A35" s="6" t="inlineStr">
        <is>
          <t>Antu Raya Dayak Kalimantan</t>
        </is>
      </c>
      <c r="B35" s="6" t="inlineStr">
        <is>
          <t>antu_raya_dayak_kalimantan</t>
        </is>
      </c>
      <c r="C35" s="6" t="inlineStr">
        <is>
          <t>Kalimantan</t>
        </is>
      </c>
      <c r="D35" s="6" t="inlineStr">
        <is>
          <t>Dayak / Banjar / Malay (Kalimantan)</t>
        </is>
      </c>
      <c r="E35" s="6" t="inlineStr">
        <is>
          <t>ElementalDemonic</t>
        </is>
      </c>
      <c r="F35" s="6" t="inlineStr">
        <is>
          <t>Masked / costumed deity form</t>
        </is>
      </c>
      <c r="G35" s="6" t="inlineStr">
        <is>
          <t>Non-consumptive (no feeding)</t>
        </is>
      </c>
      <c r="H35" s="6" t="n">
        <v>4</v>
      </c>
      <c r="I35" s="6" t="inlineStr">
        <is>
          <t>Folklore-synthesis summary: a elementaldemonic figure in Kalimantan tradition; behaviour and origin motifs as coded in the source files. Treat as a comparative motif summary, not a single canonical tale — local variants differ by village and teller.</t>
        </is>
      </c>
      <c r="J35" s="6" t="inlineStr">
        <is>
          <t>Masked / costumed deity form. See Morphology and trait matrix for coded features (hair/fur, head detachment, fire, flight).</t>
        </is>
      </c>
      <c r="K35" s="6" t="inlineStr">
        <is>
          <t>Banyan tree association</t>
        </is>
      </c>
      <c r="L35" s="6" t="inlineStr">
        <is>
          <t>Unknown</t>
        </is>
      </c>
      <c r="M35" s="6" t="inlineStr">
        <is>
          <t>Recurring figure in Indonesian horror film, television, comics and oral storytelling; specific portrayals vary widely by medium and region.</t>
        </is>
      </c>
      <c r="N35" s="6" t="inlineStr">
        <is>
          <t>Ingroup</t>
        </is>
      </c>
      <c r="O35" s="6" t="inlineStr">
        <is>
          <t>Yes — tip in 61-taxon IQ-TREE</t>
        </is>
      </c>
      <c r="P35" s="6" t="inlineStr">
        <is>
          <t>YES — one or more '?' traits filled by folklore synthesis</t>
        </is>
      </c>
      <c r="Q35" s="6" t="n">
        <v>1</v>
      </c>
      <c r="R35" s="6" t="n">
        <v>2</v>
      </c>
      <c r="S35" s="6" t="n">
        <v>0</v>
      </c>
      <c r="T35" s="6" t="n">
        <v>1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1</v>
      </c>
      <c r="AH35" s="6" t="n">
        <v>0</v>
      </c>
    </row>
    <row r="36" ht="52" customHeight="1">
      <c r="A36" s="5" t="inlineStr">
        <is>
          <t>Antu Pala Dayak Kalimantan</t>
        </is>
      </c>
      <c r="B36" s="5" t="inlineStr">
        <is>
          <t>antu_pala_dayak_kalimantan</t>
        </is>
      </c>
      <c r="C36" s="5" t="inlineStr">
        <is>
          <t>Kalimantan</t>
        </is>
      </c>
      <c r="D36" s="5" t="inlineStr">
        <is>
          <t>Dayak / Banjar / Malay (Kalimantan)</t>
        </is>
      </c>
      <c r="E36" s="5" t="inlineStr">
        <is>
          <t>Volant Viscerophage</t>
        </is>
      </c>
      <c r="F36" s="5" t="inlineStr">
        <is>
          <t>Shrouded corpse</t>
        </is>
      </c>
      <c r="G36" s="5" t="inlineStr">
        <is>
          <t>Blood / fetuses</t>
        </is>
      </c>
      <c r="H36" s="5" t="n">
        <v>5</v>
      </c>
      <c r="I36" s="5" t="inlineStr">
        <is>
          <t>Folklore-synthesis summary: a volant viscerophage figure in Kalimantan tradition; behaviour and origin motifs as coded in the source files. Treat as a comparative motif summary, not a single canonical tale — local variants differ by village and teller.</t>
        </is>
      </c>
      <c r="J36" s="5" t="inlineStr">
        <is>
          <t>Shrouded corpse. See Morphology and trait matrix for coded features (hair/fur, head detachment, fire, flight).</t>
        </is>
      </c>
      <c r="K36" s="5" t="inlineStr">
        <is>
          <t>Headless locomotionterrifies passersby</t>
        </is>
      </c>
      <c r="L36" s="5" t="inlineStr">
        <is>
          <t>Vinegarbroken glass</t>
        </is>
      </c>
      <c r="M36" s="5" t="inlineStr">
        <is>
          <t>Recurring figure in Indonesian horror film, television, comics and oral storytelling; specific portrayals vary widely by medium and region.</t>
        </is>
      </c>
      <c r="N36" s="5" t="inlineStr">
        <is>
          <t>Ingroup</t>
        </is>
      </c>
      <c r="O36" s="5" t="inlineStr">
        <is>
          <t>Yes — tip in 61-taxon IQ-TREE</t>
        </is>
      </c>
      <c r="P36" s="5" t="inlineStr">
        <is>
          <t>YES — one or more '?' traits filled by folklore synthesis</t>
        </is>
      </c>
      <c r="Q36" s="5" t="n">
        <v>1</v>
      </c>
      <c r="R36" s="5" t="n">
        <v>2</v>
      </c>
      <c r="S36" s="5" t="n">
        <v>0</v>
      </c>
      <c r="T36" s="5" t="n">
        <v>1</v>
      </c>
      <c r="U36" s="5" t="n">
        <v>1</v>
      </c>
      <c r="V36" s="5" t="n">
        <v>0</v>
      </c>
      <c r="W36" s="5" t="n">
        <v>1</v>
      </c>
      <c r="X36" s="5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1</v>
      </c>
      <c r="AH36" s="5" t="n">
        <v>0</v>
      </c>
    </row>
    <row r="37" ht="52" customHeight="1">
      <c r="A37" s="6" t="inlineStr">
        <is>
          <t>Hantu Belian Kalimantan</t>
        </is>
      </c>
      <c r="B37" s="6" t="inlineStr">
        <is>
          <t>hantu_belian_kalimantan</t>
        </is>
      </c>
      <c r="C37" s="6" t="inlineStr">
        <is>
          <t>Kalimantan</t>
        </is>
      </c>
      <c r="D37" s="6" t="inlineStr">
        <is>
          <t>Dayak / Banjar / Malay (Kalimantan)</t>
        </is>
      </c>
      <c r="E37" s="6" t="inlineStr">
        <is>
          <t>TherianthropeShapeshifter</t>
        </is>
      </c>
      <c r="F37" s="6" t="inlineStr">
        <is>
          <t>Tiger–human hybrid</t>
        </is>
      </c>
      <c r="G37" s="6" t="inlineStr">
        <is>
          <t>Flesh / meat / fauna</t>
        </is>
      </c>
      <c r="H37" s="6" t="n">
        <v>4</v>
      </c>
      <c r="I37" s="6" t="inlineStr">
        <is>
          <t>Folklore-synthesis summary: a therianthropeshapeshifter figure in Kalimantan tradition; behaviour and origin motifs as coded in the source files. Treat as a comparative motif summary, not a single canonical tale — local variants differ by village and teller.</t>
        </is>
      </c>
      <c r="J37" s="6" t="inlineStr">
        <is>
          <t>Tiger–human hybrid. See Morphology and trait matrix for coded features (hair/fur, head detachment, fire, flight).</t>
        </is>
      </c>
      <c r="K37" s="6" t="inlineStr">
        <is>
          <t>Shapeshifts into animalpossesses victims</t>
        </is>
      </c>
      <c r="L37" s="6" t="inlineStr">
        <is>
          <t>Proper funeral completion</t>
        </is>
      </c>
      <c r="M37" s="6" t="inlineStr">
        <is>
          <t>Recurring figure in Indonesian horror film, television, comics and oral storytelling; specific portrayals vary widely by medium and region.</t>
        </is>
      </c>
      <c r="N37" s="6" t="inlineStr">
        <is>
          <t>Ingroup</t>
        </is>
      </c>
      <c r="O37" s="6" t="inlineStr">
        <is>
          <t>Yes — tip in 61-taxon IQ-TREE</t>
        </is>
      </c>
      <c r="P37" s="6" t="inlineStr">
        <is>
          <t>YES — one or more '?' traits filled by folklore synthesis</t>
        </is>
      </c>
      <c r="Q37" s="6" t="n">
        <v>1</v>
      </c>
      <c r="R37" s="6" t="n">
        <v>2</v>
      </c>
      <c r="S37" s="6" t="n">
        <v>0</v>
      </c>
      <c r="T37" s="6" t="n">
        <v>1</v>
      </c>
      <c r="U37" s="6" t="n">
        <v>0</v>
      </c>
      <c r="V37" s="6" t="n">
        <v>0</v>
      </c>
      <c r="W37" s="6" t="n">
        <v>0</v>
      </c>
      <c r="X37" s="6" t="n">
        <v>1</v>
      </c>
      <c r="Y37" s="6" t="n">
        <v>0</v>
      </c>
      <c r="Z37" s="6" t="n">
        <v>1</v>
      </c>
      <c r="AA37" s="6" t="n">
        <v>1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 ht="52" customHeight="1">
      <c r="A38" s="5" t="inlineStr">
        <is>
          <t>Tetek Arum Kalimantan</t>
        </is>
      </c>
      <c r="B38" s="5" t="inlineStr">
        <is>
          <t>tetek_arum_kalimantan</t>
        </is>
      </c>
      <c r="C38" s="5" t="inlineStr">
        <is>
          <t>Kalimantan</t>
        </is>
      </c>
      <c r="D38" s="5" t="inlineStr">
        <is>
          <t>Dayak / Banjar / Malay (Kalimantan)</t>
        </is>
      </c>
      <c r="E38" s="5" t="inlineStr">
        <is>
          <t>Vengeful Female</t>
        </is>
      </c>
      <c r="F38" s="5" t="inlineStr">
        <is>
          <t>Spectral female</t>
        </is>
      </c>
      <c r="G38" s="5" t="inlineStr">
        <is>
          <t>Unknown</t>
        </is>
      </c>
      <c r="H38" s="5" t="n">
        <v>4</v>
      </c>
      <c r="I38" s="5" t="inlineStr">
        <is>
          <t>Folklore-synthesis summary: a vengeful female figure in Kalimantan tradition; behaviour and origin motifs as coded in the source files. Treat as a comparative motif summary, not a single canonical tale — local variants differ by village and teller.</t>
        </is>
      </c>
      <c r="J38" s="5" t="inlineStr">
        <is>
          <t>Spectral female. See Morphology and trait matrix for coded features (hair/fur, head detachment, fire, flight).</t>
        </is>
      </c>
      <c r="K38" s="5" t="inlineStr">
        <is>
          <t>Echoing laughweeping</t>
        </is>
      </c>
      <c r="L38" s="5" t="inlineStr">
        <is>
          <t>Maternal mortality origin</t>
        </is>
      </c>
      <c r="M38" s="5" t="inlineStr">
        <is>
          <t>Recurring figure in Indonesian horror film, television, comics and oral storytelling; specific portrayals vary widely by medium and region.</t>
        </is>
      </c>
      <c r="N38" s="5" t="inlineStr">
        <is>
          <t>Ingroup</t>
        </is>
      </c>
      <c r="O38" s="5" t="inlineStr">
        <is>
          <t>Yes — tip in 61-taxon IQ-TREE</t>
        </is>
      </c>
      <c r="P38" s="5" t="inlineStr">
        <is>
          <t>YES — one or more '?' traits filled by folklore synthesis</t>
        </is>
      </c>
      <c r="Q38" s="5" t="n">
        <v>1</v>
      </c>
      <c r="R38" s="5" t="n">
        <v>1</v>
      </c>
      <c r="S38" s="5" t="n">
        <v>1</v>
      </c>
      <c r="T38" s="5" t="n">
        <v>0</v>
      </c>
      <c r="U38" s="5" t="n">
        <v>0</v>
      </c>
      <c r="V38" s="5" t="n">
        <v>1</v>
      </c>
      <c r="W38" s="5" t="n">
        <v>0</v>
      </c>
      <c r="X38" s="5" t="n">
        <v>0</v>
      </c>
      <c r="Y38" s="5" t="n">
        <v>0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1</v>
      </c>
      <c r="AG38" s="5" t="n">
        <v>0</v>
      </c>
      <c r="AH38" s="5" t="n">
        <v>0</v>
      </c>
    </row>
    <row r="39" ht="52" customHeight="1">
      <c r="A39" s="6" t="inlineStr">
        <is>
          <t>Bombo Toraja Sulawesi</t>
        </is>
      </c>
      <c r="B39" s="6" t="inlineStr">
        <is>
          <t>bombo_toraja_sulawesi</t>
        </is>
      </c>
      <c r="C39" s="6" t="inlineStr">
        <is>
          <t>Sulawesi</t>
        </is>
      </c>
      <c r="D39" s="6" t="inlineStr">
        <is>
          <t>Toraja</t>
        </is>
      </c>
      <c r="E39" s="6" t="inlineStr">
        <is>
          <t>UndeadRevenant</t>
        </is>
      </c>
      <c r="F39" s="6" t="inlineStr">
        <is>
          <t>Shrouded corpse</t>
        </is>
      </c>
      <c r="G39" s="6" t="inlineStr">
        <is>
          <t>Non-consumptive (no feeding)</t>
        </is>
      </c>
      <c r="H39" s="6" t="n">
        <v>3</v>
      </c>
      <c r="I39" s="6" t="inlineStr">
        <is>
          <t>Folklore-synthesis summary: a undeadrevenant figure in Sulawesi tradition; behaviour and origin motifs as coded in the source files. Treat as a comparative motif summary, not a single canonical tale — local variants differ by village and teller.</t>
        </is>
      </c>
      <c r="J39" s="6" t="inlineStr">
        <is>
          <t>Shrouded corpse. See Morphology and trait matrix for coded features (hair/fur, head detachment, fire, flight).</t>
        </is>
      </c>
      <c r="K39" s="6" t="inlineStr">
        <is>
          <t>Wanders due to incomplete funeral rites</t>
        </is>
      </c>
      <c r="L39" s="6" t="inlineStr">
        <is>
          <t>Untying the shroud knot</t>
        </is>
      </c>
      <c r="M39" s="6" t="inlineStr">
        <is>
          <t>Recurring figure in Indonesian horror film, television, comics and oral storytelling; specific portrayals vary widely by medium and region.</t>
        </is>
      </c>
      <c r="N39" s="6" t="inlineStr">
        <is>
          <t>Ingroup</t>
        </is>
      </c>
      <c r="O39" s="6" t="inlineStr">
        <is>
          <t>Yes — tip in 61-taxon IQ-TREE</t>
        </is>
      </c>
      <c r="P39" s="6" t="inlineStr">
        <is>
          <t>YES — one or more '?' traits filled by folklore synthesis</t>
        </is>
      </c>
      <c r="Q39" s="6" t="n">
        <v>1</v>
      </c>
      <c r="R39" s="6" t="n">
        <v>2</v>
      </c>
      <c r="S39" s="6" t="n">
        <v>1</v>
      </c>
      <c r="T39" s="6" t="n">
        <v>1</v>
      </c>
      <c r="U39" s="6" t="n">
        <v>0</v>
      </c>
      <c r="V39" s="6" t="n">
        <v>1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1</v>
      </c>
      <c r="AG39" s="6" t="n">
        <v>0</v>
      </c>
      <c r="AH39" s="6" t="n">
        <v>0</v>
      </c>
    </row>
    <row r="40" ht="52" customHeight="1">
      <c r="A40" s="5" t="inlineStr">
        <is>
          <t>Batitong Toraja Sulawesi</t>
        </is>
      </c>
      <c r="B40" s="5" t="inlineStr">
        <is>
          <t>batitong_toraja_sulawesi</t>
        </is>
      </c>
      <c r="C40" s="5" t="inlineStr">
        <is>
          <t>Sulawesi</t>
        </is>
      </c>
      <c r="D40" s="5" t="inlineStr">
        <is>
          <t>Toraja</t>
        </is>
      </c>
      <c r="E40" s="5" t="inlineStr">
        <is>
          <t>NatureAncestral Spirit</t>
        </is>
      </c>
      <c r="F40" s="5" t="inlineStr">
        <is>
          <t>Masked / costumed deity form</t>
        </is>
      </c>
      <c r="G40" s="5" t="inlineStr">
        <is>
          <t>Non-consumptive (no feeding)</t>
        </is>
      </c>
      <c r="H40" s="5" t="n">
        <v>2</v>
      </c>
      <c r="I40" s="5" t="inlineStr">
        <is>
          <t>Folklore-synthesis summary: a natureancestral spirit figure in Sulawesi tradition; behaviour and origin motifs as coded in the source files. Treat as a comparative motif summary, not a single canonical tale — local variants differ by village and teller.</t>
        </is>
      </c>
      <c r="J40" s="5" t="inlineStr">
        <is>
          <t>Masked / costumed deity form. See Morphology and trait matrix for coded features (hair/fur, head detachment, fire, flight).</t>
        </is>
      </c>
      <c r="K40" s="5" t="inlineStr">
        <is>
          <t>Inhabits sacred stonestreessprings</t>
        </is>
      </c>
      <c r="L40" s="5" t="inlineStr">
        <is>
          <t>Specific ritual offeringsBanyan wood</t>
        </is>
      </c>
      <c r="M40" s="5" t="inlineStr">
        <is>
          <t>Recurring figure in Indonesian horror film, television, comics and oral storytelling; specific portrayals vary widely by medium and region.</t>
        </is>
      </c>
      <c r="N40" s="5" t="inlineStr">
        <is>
          <t>Ingroup</t>
        </is>
      </c>
      <c r="O40" s="5" t="inlineStr">
        <is>
          <t>Yes — tip in 61-taxon IQ-TREE</t>
        </is>
      </c>
      <c r="P40" s="5" t="inlineStr">
        <is>
          <t>YES — one or more '?' traits filled by folklore synthesis</t>
        </is>
      </c>
      <c r="Q40" s="5" t="n">
        <v>1</v>
      </c>
      <c r="R40" s="5" t="n">
        <v>2</v>
      </c>
      <c r="S40" s="5" t="n">
        <v>0</v>
      </c>
      <c r="T40" s="5" t="n">
        <v>1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1</v>
      </c>
      <c r="AF40" s="5" t="n">
        <v>0</v>
      </c>
      <c r="AG40" s="5" t="n">
        <v>0</v>
      </c>
      <c r="AH40" s="5" t="n">
        <v>0</v>
      </c>
    </row>
    <row r="41" ht="52" customHeight="1">
      <c r="A41" s="6" t="inlineStr">
        <is>
          <t>Tosalili Toraja Sulawesi</t>
        </is>
      </c>
      <c r="B41" s="6" t="inlineStr">
        <is>
          <t>tosalili_toraja_sulawesi</t>
        </is>
      </c>
      <c r="C41" s="6" t="inlineStr">
        <is>
          <t>Sulawesi</t>
        </is>
      </c>
      <c r="D41" s="6" t="inlineStr">
        <is>
          <t>Toraja</t>
        </is>
      </c>
      <c r="E41" s="6" t="inlineStr">
        <is>
          <t>Vengeful Female</t>
        </is>
      </c>
      <c r="F41" s="6" t="inlineStr">
        <is>
          <t>Spectral female</t>
        </is>
      </c>
      <c r="G41" s="6" t="inlineStr">
        <is>
          <t>Blood / fetuses</t>
        </is>
      </c>
      <c r="H41" s="6" t="n">
        <v>5</v>
      </c>
      <c r="I41" s="6" t="inlineStr">
        <is>
          <t>Folklore-synthesis summary: a vengeful female figure in Sulawesi tradition; behaviour and origin motifs as coded in the source files. Treat as a comparative motif summary, not a single canonical tale — local variants differ by village and teller.</t>
        </is>
      </c>
      <c r="J41" s="6" t="inlineStr">
        <is>
          <t>Spectral female. See Morphology and trait matrix for coded features (hair/fur, head detachment, fire, flight).</t>
        </is>
      </c>
      <c r="K41" s="6" t="inlineStr">
        <is>
          <t>Causes illness through spiritual pollution</t>
        </is>
      </c>
      <c r="L41" s="6" t="inlineStr">
        <is>
          <t>Maternal mortality origin</t>
        </is>
      </c>
      <c r="M41" s="6" t="inlineStr">
        <is>
          <t>Recurring figure in Indonesian horror film, television, comics and oral storytelling; specific portrayals vary widely by medium and region.</t>
        </is>
      </c>
      <c r="N41" s="6" t="inlineStr">
        <is>
          <t>Ingroup</t>
        </is>
      </c>
      <c r="O41" s="6" t="inlineStr">
        <is>
          <t>Yes — tip in 61-taxon IQ-TREE</t>
        </is>
      </c>
      <c r="P41" s="6" t="inlineStr">
        <is>
          <t>YES — one or more '?' traits filled by folklore synthesis</t>
        </is>
      </c>
      <c r="Q41" s="6" t="n">
        <v>1</v>
      </c>
      <c r="R41" s="6" t="n">
        <v>1</v>
      </c>
      <c r="S41" s="6" t="n">
        <v>1</v>
      </c>
      <c r="T41" s="6" t="n">
        <v>0</v>
      </c>
      <c r="U41" s="6" t="n">
        <v>0</v>
      </c>
      <c r="V41" s="6" t="n">
        <v>1</v>
      </c>
      <c r="W41" s="6" t="n">
        <v>1</v>
      </c>
      <c r="X41" s="6" t="n">
        <v>1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1</v>
      </c>
      <c r="AG41" s="6" t="n">
        <v>0</v>
      </c>
      <c r="AH41" s="6" t="n">
        <v>0</v>
      </c>
    </row>
    <row r="42" ht="52" customHeight="1">
      <c r="A42" s="5" t="inlineStr">
        <is>
          <t>Poppo Bugis Sulawesi</t>
        </is>
      </c>
      <c r="B42" s="5" t="inlineStr">
        <is>
          <t>poppo_bugis_sulawesi</t>
        </is>
      </c>
      <c r="C42" s="5" t="inlineStr">
        <is>
          <t>Sulawesi</t>
        </is>
      </c>
      <c r="D42" s="5" t="inlineStr">
        <is>
          <t>Bugis</t>
        </is>
      </c>
      <c r="E42" s="5" t="inlineStr">
        <is>
          <t>Volant Viscerophage</t>
        </is>
      </c>
      <c r="F42" s="5" t="inlineStr">
        <is>
          <t>Detached flying head</t>
        </is>
      </c>
      <c r="G42" s="5" t="inlineStr">
        <is>
          <t>Blood / fetuses</t>
        </is>
      </c>
      <c r="H42" s="5" t="n">
        <v>5</v>
      </c>
      <c r="I42" s="5" t="inlineStr">
        <is>
          <t>Folklore-synthesis summary: a volant viscerophage figure in Sulawesi tradition; behaviour and origin motifs as coded in the source files. Treat as a comparative motif summary, not a single canonical tale — local variants differ by village and teller.</t>
        </is>
      </c>
      <c r="J42" s="5" t="inlineStr">
        <is>
          <t>Detached flying head. See Morphology and trait matrix for coded features (hair/fur, head detachment, fire, flight).</t>
        </is>
      </c>
      <c r="K42" s="5" t="inlineStr">
        <is>
          <t>Unknown</t>
        </is>
      </c>
      <c r="L42" s="5" t="inlineStr">
        <is>
          <t>Vinegarbroken glass</t>
        </is>
      </c>
      <c r="M42" s="5" t="inlineStr">
        <is>
          <t>Recurring figure in Indonesian horror film, television, comics and oral storytelling; specific portrayals vary widely by medium and region.</t>
        </is>
      </c>
      <c r="N42" s="5" t="inlineStr">
        <is>
          <t>Ingroup</t>
        </is>
      </c>
      <c r="O42" s="5" t="inlineStr">
        <is>
          <t>Yes — tip in 61-taxon IQ-TREE</t>
        </is>
      </c>
      <c r="P42" s="5" t="inlineStr">
        <is>
          <t>YES — one or more '?' traits filled by folklore synthesis</t>
        </is>
      </c>
      <c r="Q42" s="5" t="n">
        <v>1</v>
      </c>
      <c r="R42" s="5" t="n">
        <v>2</v>
      </c>
      <c r="S42" s="5" t="n">
        <v>0</v>
      </c>
      <c r="T42" s="5" t="n">
        <v>0</v>
      </c>
      <c r="U42" s="5" t="n">
        <v>1</v>
      </c>
      <c r="V42" s="5" t="n">
        <v>0</v>
      </c>
      <c r="W42" s="5" t="n">
        <v>1</v>
      </c>
      <c r="X42" s="5" t="n">
        <v>1</v>
      </c>
      <c r="Y42" s="5" t="n">
        <v>0</v>
      </c>
      <c r="Z42" s="5" t="n">
        <v>0</v>
      </c>
      <c r="AA42" s="5" t="n">
        <v>0</v>
      </c>
      <c r="AB42" s="5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1</v>
      </c>
      <c r="AH42" s="5" t="n">
        <v>0</v>
      </c>
    </row>
    <row r="43" ht="52" customHeight="1">
      <c r="A43" s="6" t="inlineStr">
        <is>
          <t>Bakkara Makassar Sulawesi</t>
        </is>
      </c>
      <c r="B43" s="6" t="inlineStr">
        <is>
          <t>bakkara_makassar_sulawesi</t>
        </is>
      </c>
      <c r="C43" s="6" t="inlineStr">
        <is>
          <t>Sulawesi</t>
        </is>
      </c>
      <c r="D43" s="6" t="inlineStr">
        <is>
          <t>Makassarese</t>
        </is>
      </c>
      <c r="E43" s="6" t="inlineStr">
        <is>
          <t>TherianthropeShapeshifter</t>
        </is>
      </c>
      <c r="F43" s="6" t="inlineStr">
        <is>
          <t>Tiger–human hybrid</t>
        </is>
      </c>
      <c r="G43" s="6" t="inlineStr">
        <is>
          <t>Flesh / meat / fauna</t>
        </is>
      </c>
      <c r="H43" s="6" t="n">
        <v>4</v>
      </c>
      <c r="I43" s="6" t="inlineStr">
        <is>
          <t>Folklore-synthesis summary: a therianthropeshapeshifter figure in Sulawesi tradition; behaviour and origin motifs as coded in the source files. Treat as a comparative motif summary, not a single canonical tale — local variants differ by village and teller.</t>
        </is>
      </c>
      <c r="J43" s="6" t="inlineStr">
        <is>
          <t>Tiger–human hybrid. See Morphology and trait matrix for coded features (hair/fur, head detachment, fire, flight).</t>
        </is>
      </c>
      <c r="K43" s="6" t="inlineStr">
        <is>
          <t>Transforms in ancestral landsguardian spirit</t>
        </is>
      </c>
      <c r="L43" s="6" t="inlineStr">
        <is>
          <t>Breaking ancestral taboo</t>
        </is>
      </c>
      <c r="M43" s="6" t="inlineStr">
        <is>
          <t>Recurring figure in Indonesian horror film, television, comics and oral storytelling; specific portrayals vary widely by medium and region.</t>
        </is>
      </c>
      <c r="N43" s="6" t="inlineStr">
        <is>
          <t>Ingroup</t>
        </is>
      </c>
      <c r="O43" s="6" t="inlineStr">
        <is>
          <t>Yes — tip in 61-taxon IQ-TREE</t>
        </is>
      </c>
      <c r="P43" s="6" t="inlineStr">
        <is>
          <t>YES — one or more '?' traits filled by folklore synthesis</t>
        </is>
      </c>
      <c r="Q43" s="6" t="n">
        <v>1</v>
      </c>
      <c r="R43" s="6" t="n">
        <v>2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1</v>
      </c>
      <c r="Y43" s="6" t="n">
        <v>0</v>
      </c>
      <c r="Z43" s="6" t="n">
        <v>1</v>
      </c>
      <c r="AA43" s="6" t="n">
        <v>1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  <c r="AH43" s="6" t="n">
        <v>0</v>
      </c>
    </row>
    <row r="44" ht="52" customHeight="1">
      <c r="A44" s="5" t="inlineStr">
        <is>
          <t>Tandi Barane Sulawesi</t>
        </is>
      </c>
      <c r="B44" s="5" t="inlineStr">
        <is>
          <t>tandi_barane_sulawesi</t>
        </is>
      </c>
      <c r="C44" s="5" t="inlineStr">
        <is>
          <t>Sulawesi</t>
        </is>
      </c>
      <c r="D44" s="5" t="inlineStr">
        <is>
          <t>Multi-ethnic Indonesian (widespread motif)</t>
        </is>
      </c>
      <c r="E44" s="5" t="inlineStr">
        <is>
          <t>Hominid Cryptid</t>
        </is>
      </c>
      <c r="F44" s="5" t="inlineStr">
        <is>
          <t>Bipedal primate / ape-like</t>
        </is>
      </c>
      <c r="G44" s="5" t="inlineStr">
        <is>
          <t>Unknown</t>
        </is>
      </c>
      <c r="H44" s="5" t="n">
        <v>3</v>
      </c>
      <c r="I44" s="5" t="inlineStr">
        <is>
          <t>Folklore-synthesis summary: a hominid cryptid figure in Sulawesi tradition; behaviour and origin motifs as coded in the source files. Treat as a comparative motif summary, not a single canonical tale — local variants differ by village and teller.</t>
        </is>
      </c>
      <c r="J44" s="5" t="inlineStr">
        <is>
          <t>Bipedal primate / ape-like. See Morphology and trait matrix for coded features (hair/fur, head detachment, fire, flight).</t>
        </is>
      </c>
      <c r="K44" s="5" t="inlineStr">
        <is>
          <t>Banyan tree association</t>
        </is>
      </c>
      <c r="L44" s="5" t="inlineStr">
        <is>
          <t>Unknown</t>
        </is>
      </c>
      <c r="M44" s="5" t="inlineStr">
        <is>
          <t>Recurring figure in Indonesian horror film, television, comics and oral storytelling; specific portrayals vary widely by medium and region.</t>
        </is>
      </c>
      <c r="N44" s="5" t="inlineStr">
        <is>
          <t>Ingroup</t>
        </is>
      </c>
      <c r="O44" s="5" t="inlineStr">
        <is>
          <t>Yes — tip in 61-taxon IQ-TREE</t>
        </is>
      </c>
      <c r="P44" s="5" t="inlineStr">
        <is>
          <t>YES — one or more '?' traits filled by folklore synthesis</t>
        </is>
      </c>
      <c r="Q44" s="5" t="n">
        <v>1</v>
      </c>
      <c r="R44" s="5" t="n">
        <v>2</v>
      </c>
      <c r="S44" s="5" t="n">
        <v>0</v>
      </c>
      <c r="T44" s="5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5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1</v>
      </c>
      <c r="AF44" s="5" t="n">
        <v>0</v>
      </c>
      <c r="AG44" s="5" t="n">
        <v>0</v>
      </c>
      <c r="AH44" s="5" t="n">
        <v>0</v>
      </c>
    </row>
    <row r="45" ht="52" customHeight="1">
      <c r="A45" s="6" t="inlineStr">
        <is>
          <t>Suanggi Maluku</t>
        </is>
      </c>
      <c r="B45" s="6" t="inlineStr">
        <is>
          <t>suanggi_maluku_indonesia</t>
        </is>
      </c>
      <c r="C45" s="6" t="inlineStr">
        <is>
          <t>Maluku / Maluku Islands</t>
        </is>
      </c>
      <c r="D45" s="6" t="inlineStr">
        <is>
          <t>Maluku Island communities</t>
        </is>
      </c>
      <c r="E45" s="6" t="inlineStr">
        <is>
          <t>TherianthropeShapeshifter</t>
        </is>
      </c>
      <c r="F45" s="6" t="inlineStr">
        <is>
          <t>Tiger–human hybrid</t>
        </is>
      </c>
      <c r="G45" s="6" t="inlineStr">
        <is>
          <t>Non-consumptive (no feeding)</t>
        </is>
      </c>
      <c r="H45" s="6" t="n">
        <v>4</v>
      </c>
      <c r="I45" s="6" t="inlineStr">
        <is>
          <t>Folklore-synthesis summary: a therianthropeshapeshifter figure in Maluku / Maluku Islands tradition; behaviour and origin motifs as coded in the source files. Treat as a comparative motif summary, not a single canonical tale — local variants differ by village and teller.</t>
        </is>
      </c>
      <c r="J45" s="6" t="inlineStr">
        <is>
          <t>Tiger–human hybrid. See Morphology and trait matrix for coded features (hair/fur, head detachment, fire, flight).</t>
        </is>
      </c>
      <c r="K45" s="6" t="inlineStr">
        <is>
          <t>Unknown</t>
        </is>
      </c>
      <c r="L45" s="6" t="inlineStr">
        <is>
          <t>Violent murderbetrayal origin</t>
        </is>
      </c>
      <c r="M45" s="6" t="inlineStr">
        <is>
          <t>Recurring figure in Indonesian horror film, television, comics and oral storytelling; specific portrayals vary widely by medium and region.</t>
        </is>
      </c>
      <c r="N45" s="6" t="inlineStr">
        <is>
          <t>Ingroup</t>
        </is>
      </c>
      <c r="O45" s="6" t="inlineStr">
        <is>
          <t>Yes — tip in 61-taxon IQ-TREE</t>
        </is>
      </c>
      <c r="P45" s="6" t="inlineStr">
        <is>
          <t>YES — one or more '?' traits filled by folklore synthesis</t>
        </is>
      </c>
      <c r="Q45" s="6" t="n">
        <v>1</v>
      </c>
      <c r="R45" s="6" t="n">
        <v>2</v>
      </c>
      <c r="S45" s="6" t="n">
        <v>0</v>
      </c>
      <c r="T45" s="6" t="n">
        <v>1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1</v>
      </c>
      <c r="AA45" s="6" t="n">
        <v>1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  <c r="AH45" s="6" t="n">
        <v>0</v>
      </c>
    </row>
    <row r="46" ht="52" customHeight="1">
      <c r="A46" s="5" t="inlineStr">
        <is>
          <t>Momoa Maluku</t>
        </is>
      </c>
      <c r="B46" s="5" t="inlineStr">
        <is>
          <t>momoa_maluku_indonesia</t>
        </is>
      </c>
      <c r="C46" s="5" t="inlineStr">
        <is>
          <t>Maluku / Maluku Islands</t>
        </is>
      </c>
      <c r="D46" s="5" t="inlineStr">
        <is>
          <t>Maluku Island communities</t>
        </is>
      </c>
      <c r="E46" s="5" t="inlineStr">
        <is>
          <t>Hominid Cryptid</t>
        </is>
      </c>
      <c r="F46" s="5" t="inlineStr">
        <is>
          <t>Bipedal primate / ape-like</t>
        </is>
      </c>
      <c r="G46" s="5" t="inlineStr">
        <is>
          <t>Blood / fetuses</t>
        </is>
      </c>
      <c r="H46" s="5" t="n">
        <v>5</v>
      </c>
      <c r="I46" s="5" t="inlineStr">
        <is>
          <t>Folklore-synthesis summary: a hominid cryptid figure in Maluku / Maluku Islands tradition; behaviour and origin motifs as coded in the source files. Treat as a comparative motif summary, not a single canonical tale — local variants differ by village and teller.</t>
        </is>
      </c>
      <c r="J46" s="5" t="inlineStr">
        <is>
          <t>Bipedal primate / ape-like. See Morphology and trait matrix for coded features (hair/fur, head detachment, fire, flight).</t>
        </is>
      </c>
      <c r="K46" s="5" t="inlineStr">
        <is>
          <t>Transforms into bird</t>
        </is>
      </c>
      <c r="L46" s="5" t="inlineStr">
        <is>
          <t>None Biological entity</t>
        </is>
      </c>
      <c r="M46" s="5" t="inlineStr">
        <is>
          <t>Recurring figure in Indonesian horror film, television, comics and oral storytelling; specific portrayals vary widely by medium and region.</t>
        </is>
      </c>
      <c r="N46" s="5" t="inlineStr">
        <is>
          <t>Ingroup</t>
        </is>
      </c>
      <c r="O46" s="5" t="inlineStr">
        <is>
          <t>Yes — tip in 61-taxon IQ-TREE</t>
        </is>
      </c>
      <c r="P46" s="5" t="inlineStr">
        <is>
          <t>YES — one or more '?' traits filled by folklore synthesis</t>
        </is>
      </c>
      <c r="Q46" s="5" t="n">
        <v>1</v>
      </c>
      <c r="R46" s="5" t="n">
        <v>2</v>
      </c>
      <c r="S46" s="5" t="n">
        <v>0</v>
      </c>
      <c r="T46" s="5" t="n">
        <v>1</v>
      </c>
      <c r="U46" s="5" t="n">
        <v>0</v>
      </c>
      <c r="V46" s="5" t="n">
        <v>0</v>
      </c>
      <c r="W46" s="5" t="n">
        <v>1</v>
      </c>
      <c r="X46" s="5" t="n">
        <v>1</v>
      </c>
      <c r="Y46" s="5" t="n">
        <v>0</v>
      </c>
      <c r="Z46" s="5" t="n">
        <v>1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1</v>
      </c>
      <c r="AF46" s="5" t="n">
        <v>0</v>
      </c>
      <c r="AG46" s="5" t="n">
        <v>0</v>
      </c>
      <c r="AH46" s="5" t="n">
        <v>0</v>
      </c>
    </row>
    <row r="47" ht="52" customHeight="1">
      <c r="A47" s="6" t="inlineStr">
        <is>
          <t>Nitu Maluku</t>
        </is>
      </c>
      <c r="B47" s="6" t="inlineStr">
        <is>
          <t>nitu_maluku_indonesia</t>
        </is>
      </c>
      <c r="C47" s="6" t="inlineStr">
        <is>
          <t>Maluku / Maluku Islands</t>
        </is>
      </c>
      <c r="D47" s="6" t="inlineStr">
        <is>
          <t>Maluku Island communities</t>
        </is>
      </c>
      <c r="E47" s="6" t="inlineStr">
        <is>
          <t>UndeadRevenant</t>
        </is>
      </c>
      <c r="F47" s="6" t="inlineStr">
        <is>
          <t>Masked / costumed deity form</t>
        </is>
      </c>
      <c r="G47" s="6" t="inlineStr">
        <is>
          <t>Non-consumptive (no feeding)</t>
        </is>
      </c>
      <c r="H47" s="6" t="n">
        <v>3</v>
      </c>
      <c r="I47" s="6" t="inlineStr">
        <is>
          <t>Folklore-synthesis summary: a undeadrevenant figure in Maluku / Maluku Islands tradition; behaviour and origin motifs as coded in the source files. Treat as a comparative motif summary, not a single canonical tale — local variants differ by village and teller.</t>
        </is>
      </c>
      <c r="J47" s="6" t="inlineStr">
        <is>
          <t>Masked / costumed deity form. See Morphology and trait matrix for coded features (hair/fur, head detachment, fire, flight).</t>
        </is>
      </c>
      <c r="K47" s="6" t="inlineStr">
        <is>
          <t>Unknown</t>
        </is>
      </c>
      <c r="L47" s="6" t="inlineStr">
        <is>
          <t>Holy prayerswater</t>
        </is>
      </c>
      <c r="M47" s="6" t="inlineStr">
        <is>
          <t>Recurring figure in Indonesian horror film, television, comics and oral storytelling; specific portrayals vary widely by medium and region.</t>
        </is>
      </c>
      <c r="N47" s="6" t="inlineStr">
        <is>
          <t>Ingroup</t>
        </is>
      </c>
      <c r="O47" s="6" t="inlineStr">
        <is>
          <t>Yes — tip in 61-taxon IQ-TREE</t>
        </is>
      </c>
      <c r="P47" s="6" t="inlineStr">
        <is>
          <t>YES — one or more '?' traits filled by folklore synthesis</t>
        </is>
      </c>
      <c r="Q47" s="6" t="n">
        <v>1</v>
      </c>
      <c r="R47" s="6" t="n">
        <v>2</v>
      </c>
      <c r="S47" s="6" t="n">
        <v>1</v>
      </c>
      <c r="T47" s="6" t="n">
        <v>1</v>
      </c>
      <c r="U47" s="6" t="n">
        <v>0</v>
      </c>
      <c r="V47" s="6" t="n">
        <v>1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1</v>
      </c>
      <c r="AG47" s="6" t="n">
        <v>0</v>
      </c>
      <c r="AH47" s="6" t="n">
        <v>0</v>
      </c>
    </row>
    <row r="48" ht="52" customHeight="1">
      <c r="A48" s="5" t="inlineStr">
        <is>
          <t>Ina Ama Maluku</t>
        </is>
      </c>
      <c r="B48" s="5" t="inlineStr">
        <is>
          <t>ina_ama_maluku_indonesia</t>
        </is>
      </c>
      <c r="C48" s="5" t="inlineStr">
        <is>
          <t>Maluku / Maluku Islands</t>
        </is>
      </c>
      <c r="D48" s="5" t="inlineStr">
        <is>
          <t>Maluku Island communities</t>
        </is>
      </c>
      <c r="E48" s="5" t="inlineStr">
        <is>
          <t>Vengeful Female</t>
        </is>
      </c>
      <c r="F48" s="5" t="inlineStr">
        <is>
          <t>Spectral female</t>
        </is>
      </c>
      <c r="G48" s="5" t="inlineStr">
        <is>
          <t>Unknown</t>
        </is>
      </c>
      <c r="H48" s="5" t="n">
        <v>4</v>
      </c>
      <c r="I48" s="5" t="inlineStr">
        <is>
          <t>Folklore-synthesis summary: a vengeful female figure in Maluku / Maluku Islands tradition; behaviour and origin motifs as coded in the source files. Treat as a comparative motif summary, not a single canonical tale — local variants differ by village and teller.</t>
        </is>
      </c>
      <c r="J48" s="5" t="inlineStr">
        <is>
          <t>Spectral female. See Morphology and trait matrix for coded features (hair/fur, head detachment, fire, flight).</t>
        </is>
      </c>
      <c r="K48" s="5" t="inlineStr">
        <is>
          <t>Conceals backpatriarchal revenge</t>
        </is>
      </c>
      <c r="L48" s="5" t="inlineStr">
        <is>
          <t>Maternal mortality origin</t>
        </is>
      </c>
      <c r="M48" s="5" t="inlineStr">
        <is>
          <t>Recurring figure in Indonesian horror film, television, comics and oral storytelling; specific portrayals vary widely by medium and region.</t>
        </is>
      </c>
      <c r="N48" s="5" t="inlineStr">
        <is>
          <t>Ingroup</t>
        </is>
      </c>
      <c r="O48" s="5" t="inlineStr">
        <is>
          <t>Yes — tip in 61-taxon IQ-TREE</t>
        </is>
      </c>
      <c r="P48" s="5" t="inlineStr">
        <is>
          <t>YES — one or more '?' traits filled by folklore synthesis</t>
        </is>
      </c>
      <c r="Q48" s="5" t="n">
        <v>1</v>
      </c>
      <c r="R48" s="5" t="n">
        <v>1</v>
      </c>
      <c r="S48" s="5" t="n">
        <v>1</v>
      </c>
      <c r="T48" s="5" t="n">
        <v>0</v>
      </c>
      <c r="U48" s="5" t="n">
        <v>0</v>
      </c>
      <c r="V48" s="5" t="n">
        <v>1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1</v>
      </c>
      <c r="AG48" s="5" t="n">
        <v>0</v>
      </c>
      <c r="AH48" s="5" t="n">
        <v>0</v>
      </c>
    </row>
    <row r="49" ht="52" customHeight="1">
      <c r="A49" s="6" t="inlineStr">
        <is>
          <t>Orang Bati Seram</t>
        </is>
      </c>
      <c r="B49" s="6" t="inlineStr">
        <is>
          <t>orang_bati_seram_indonesia</t>
        </is>
      </c>
      <c r="C49" s="6" t="inlineStr">
        <is>
          <t>Maluku / Maluku Islands</t>
        </is>
      </c>
      <c r="D49" s="6" t="inlineStr">
        <is>
          <t>Maluku Island communities</t>
        </is>
      </c>
      <c r="E49" s="6" t="inlineStr">
        <is>
          <t>Volant Cryptid</t>
        </is>
      </c>
      <c r="F49" s="6" t="inlineStr">
        <is>
          <t>Winged hominid</t>
        </is>
      </c>
      <c r="G49" s="6" t="inlineStr">
        <is>
          <t>Flesh / meat / fauna</t>
        </is>
      </c>
      <c r="H49" s="6" t="n">
        <v>3</v>
      </c>
      <c r="I49" s="6" t="inlineStr">
        <is>
          <t>Folklore-synthesis summary: a volant cryptid figure in Maluku / Maluku Islands tradition; behaviour and origin motifs as coded in the source files. Treat as a comparative motif summary, not a single canonical tale — local variants differ by village and teller.</t>
        </is>
      </c>
      <c r="J49" s="6" t="inlineStr">
        <is>
          <t>Winged hominid. See Morphology and trait matrix for coded features (hair/fur, head detachment, fire, flight).</t>
        </is>
      </c>
      <c r="K49" s="6" t="inlineStr">
        <is>
          <t>Abducts children to volcanic craters</t>
        </is>
      </c>
      <c r="L49" s="6" t="inlineStr">
        <is>
          <t>None Biological entity</t>
        </is>
      </c>
      <c r="M49" s="6" t="inlineStr">
        <is>
          <t>Recurring figure in Indonesian horror film, television, comics and oral storytelling; specific portrayals vary widely by medium and region.</t>
        </is>
      </c>
      <c r="N49" s="6" t="inlineStr">
        <is>
          <t>Ingroup</t>
        </is>
      </c>
      <c r="O49" s="6" t="inlineStr">
        <is>
          <t>Yes — tip in 61-taxon IQ-TREE</t>
        </is>
      </c>
      <c r="P49" s="6" t="inlineStr">
        <is>
          <t>YES — one or more '?' traits filled by folklore synthesis</t>
        </is>
      </c>
      <c r="Q49" s="6" t="n">
        <v>1</v>
      </c>
      <c r="R49" s="6" t="n">
        <v>2</v>
      </c>
      <c r="S49" s="6" t="n">
        <v>0</v>
      </c>
      <c r="T49" s="6" t="n">
        <v>1</v>
      </c>
      <c r="U49" s="6" t="n">
        <v>1</v>
      </c>
      <c r="V49" s="6" t="n">
        <v>0</v>
      </c>
      <c r="W49" s="6" t="n">
        <v>0</v>
      </c>
      <c r="X49" s="6" t="n">
        <v>1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1</v>
      </c>
      <c r="AF49" s="6" t="n">
        <v>0</v>
      </c>
      <c r="AG49" s="6" t="n">
        <v>0</v>
      </c>
      <c r="AH49" s="6" t="n">
        <v>0</v>
      </c>
    </row>
    <row r="50" ht="52" customHeight="1">
      <c r="A50" s="5" t="inlineStr">
        <is>
          <t>Ebu Gogo Flores</t>
        </is>
      </c>
      <c r="B50" s="5" t="inlineStr">
        <is>
          <t>ebu_gogo_flores_indonesia</t>
        </is>
      </c>
      <c r="C50" s="5" t="inlineStr">
        <is>
          <t>Flores / NTT</t>
        </is>
      </c>
      <c r="D50" s="5" t="inlineStr">
        <is>
          <t>Flores / Ngada and related NTT communities</t>
        </is>
      </c>
      <c r="E50" s="5" t="inlineStr">
        <is>
          <t>Hominid Cryptid</t>
        </is>
      </c>
      <c r="F50" s="5" t="inlineStr">
        <is>
          <t>Bipedal primate / ape-like</t>
        </is>
      </c>
      <c r="G50" s="5" t="inlineStr">
        <is>
          <t>Omnivore / herbivore</t>
        </is>
      </c>
      <c r="H50" s="5" t="n">
        <v>3</v>
      </c>
      <c r="I50" s="5" t="inlineStr">
        <is>
          <t>Folklore-synthesis summary: a hominid cryptid figure in Flores / NTT tradition; behaviour and origin motifs as coded in the source files. Treat as a comparative motif summary, not a single canonical tale — local variants differ by village and teller.</t>
        </is>
      </c>
      <c r="J50" s="5" t="inlineStr">
        <is>
          <t>Bipedal primate / ape-like. See Morphology and trait matrix for coded features (hair/fur, head detachment, fire, flight).</t>
        </is>
      </c>
      <c r="K50" s="5" t="inlineStr">
        <is>
          <t>Cavedwellingrudimentary language</t>
        </is>
      </c>
      <c r="L50" s="5" t="inlineStr">
        <is>
          <t>None Biological entity</t>
        </is>
      </c>
      <c r="M50" s="5" t="inlineStr">
        <is>
          <t>Recurring figure in Indonesian horror film, television, comics and oral storytelling; specific portrayals vary widely by medium and region.</t>
        </is>
      </c>
      <c r="N50" s="5" t="inlineStr">
        <is>
          <t>Ingroup</t>
        </is>
      </c>
      <c r="O50" s="5" t="inlineStr">
        <is>
          <t>Yes — tip in 61-taxon IQ-TREE</t>
        </is>
      </c>
      <c r="P50" s="5" t="inlineStr">
        <is>
          <t>YES — one or more '?' traits filled by folklore synthesis</t>
        </is>
      </c>
      <c r="Q50" s="5" t="n">
        <v>1</v>
      </c>
      <c r="R50" s="5" t="n">
        <v>2</v>
      </c>
      <c r="S50" s="5" t="n">
        <v>0</v>
      </c>
      <c r="T50" s="5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5" t="n">
        <v>0</v>
      </c>
      <c r="Z50" s="5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1</v>
      </c>
      <c r="AF50" s="5" t="n">
        <v>0</v>
      </c>
      <c r="AG50" s="5" t="n">
        <v>0</v>
      </c>
      <c r="AH50" s="5" t="n">
        <v>0</v>
      </c>
    </row>
    <row r="51" ht="52" customHeight="1">
      <c r="A51" s="6" t="inlineStr">
        <is>
          <t>Senggiq Lombok</t>
        </is>
      </c>
      <c r="B51" s="6" t="inlineStr">
        <is>
          <t>senggiq_lombok_indonesia</t>
        </is>
      </c>
      <c r="C51" s="6" t="inlineStr">
        <is>
          <t>Lombok / NTT</t>
        </is>
      </c>
      <c r="D51" s="6" t="inlineStr">
        <is>
          <t>Sasak / NTT communities</t>
        </is>
      </c>
      <c r="E51" s="6" t="inlineStr">
        <is>
          <t>Vengeful Female</t>
        </is>
      </c>
      <c r="F51" s="6" t="inlineStr">
        <is>
          <t>Spectral female</t>
        </is>
      </c>
      <c r="G51" s="6" t="inlineStr">
        <is>
          <t>Unknown</t>
        </is>
      </c>
      <c r="H51" s="6" t="n">
        <v>4</v>
      </c>
      <c r="I51" s="6" t="inlineStr">
        <is>
          <t>Folklore-synthesis summary: a vengeful female figure in Lombok / NTT tradition; behaviour and origin motifs as coded in the source files. Treat as a comparative motif summary, not a single canonical tale — local variants differ by village and teller.</t>
        </is>
      </c>
      <c r="J51" s="6" t="inlineStr">
        <is>
          <t>Spectral female. See Morphology and trait matrix for coded features (hair/fur, head detachment, fire, flight).</t>
        </is>
      </c>
      <c r="K51" s="6" t="inlineStr">
        <is>
          <t>Conceals backpatriarchal revenge</t>
        </is>
      </c>
      <c r="L51" s="6" t="inlineStr">
        <is>
          <t>Maternal mortality origin</t>
        </is>
      </c>
      <c r="M51" s="6" t="inlineStr">
        <is>
          <t>Recurring figure in Indonesian horror film, television, comics and oral storytelling; specific portrayals vary widely by medium and region.</t>
        </is>
      </c>
      <c r="N51" s="6" t="inlineStr">
        <is>
          <t>Ingroup</t>
        </is>
      </c>
      <c r="O51" s="6" t="inlineStr">
        <is>
          <t>Yes — tip in 61-taxon IQ-TREE</t>
        </is>
      </c>
      <c r="P51" s="6" t="inlineStr">
        <is>
          <t>YES — one or more '?' traits filled by folklore synthesis</t>
        </is>
      </c>
      <c r="Q51" s="6" t="n">
        <v>1</v>
      </c>
      <c r="R51" s="6" t="n">
        <v>1</v>
      </c>
      <c r="S51" s="6" t="n">
        <v>1</v>
      </c>
      <c r="T51" s="6" t="n">
        <v>0</v>
      </c>
      <c r="U51" s="6" t="n">
        <v>0</v>
      </c>
      <c r="V51" s="6" t="n">
        <v>1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1</v>
      </c>
      <c r="AG51" s="6" t="n">
        <v>0</v>
      </c>
      <c r="AH51" s="6" t="n">
        <v>0</v>
      </c>
    </row>
    <row r="52" ht="52" customHeight="1">
      <c r="A52" s="5" t="inlineStr">
        <is>
          <t>Leak Lombok Ntt</t>
        </is>
      </c>
      <c r="B52" s="5" t="inlineStr">
        <is>
          <t>leak_lombok_ntt</t>
        </is>
      </c>
      <c r="C52" s="5" t="inlineStr">
        <is>
          <t>Lombok / NTT</t>
        </is>
      </c>
      <c r="D52" s="5" t="inlineStr">
        <is>
          <t>Sasak / NTT communities</t>
        </is>
      </c>
      <c r="E52" s="5" t="inlineStr">
        <is>
          <t>TherianthropeShapeshifter</t>
        </is>
      </c>
      <c r="F52" s="5" t="inlineStr">
        <is>
          <t>Tiger–human hybrid</t>
        </is>
      </c>
      <c r="G52" s="5" t="inlineStr">
        <is>
          <t>Non-consumptive (no feeding)</t>
        </is>
      </c>
      <c r="H52" s="5" t="n">
        <v>4</v>
      </c>
      <c r="I52" s="5" t="inlineStr">
        <is>
          <t>Folklore-synthesis summary: a therianthropeshapeshifter figure in Lombok / NTT tradition; behaviour and origin motifs as coded in the source files. Treat as a comparative motif summary, not a single canonical tale — local variants differ by village and teller.</t>
        </is>
      </c>
      <c r="J52" s="5" t="inlineStr">
        <is>
          <t>Tiger–human hybrid. See Morphology and trait matrix for coded features (hair/fur, head detachment, fire, flight).</t>
        </is>
      </c>
      <c r="K52" s="5" t="inlineStr">
        <is>
          <t>Ritual selftransformation via black magic</t>
        </is>
      </c>
      <c r="L52" s="5" t="inlineStr">
        <is>
          <t>Unknown</t>
        </is>
      </c>
      <c r="M52" s="5" t="inlineStr">
        <is>
          <t>Recurring figure in Indonesian horror film, television, comics and oral storytelling; specific portrayals vary widely by medium and region.</t>
        </is>
      </c>
      <c r="N52" s="5" t="inlineStr">
        <is>
          <t>Ingroup</t>
        </is>
      </c>
      <c r="O52" s="5" t="inlineStr">
        <is>
          <t>Yes — tip in 61-taxon IQ-TREE</t>
        </is>
      </c>
      <c r="P52" s="5" t="inlineStr">
        <is>
          <t>No — coding as in source file</t>
        </is>
      </c>
      <c r="Q52" s="5" t="n">
        <v>1</v>
      </c>
      <c r="R52" s="5" t="n">
        <v>2</v>
      </c>
      <c r="S52" s="5" t="n">
        <v>0</v>
      </c>
      <c r="T52" s="5" t="n">
        <v>0</v>
      </c>
      <c r="U52" s="5" t="n">
        <v>1</v>
      </c>
      <c r="V52" s="5" t="n">
        <v>1</v>
      </c>
      <c r="W52" s="5" t="n">
        <v>1</v>
      </c>
      <c r="X52" s="5" t="n">
        <v>1</v>
      </c>
      <c r="Y52" s="5" t="n">
        <v>0</v>
      </c>
      <c r="Z52" s="5" t="n">
        <v>0</v>
      </c>
      <c r="AA52" s="5" t="n">
        <v>1</v>
      </c>
      <c r="AB52" s="5" t="n">
        <v>1</v>
      </c>
      <c r="AC52" s="5" t="n">
        <v>1</v>
      </c>
      <c r="AD52" s="5" t="n">
        <v>0</v>
      </c>
      <c r="AE52" s="5" t="n">
        <v>0</v>
      </c>
      <c r="AF52" s="5" t="n">
        <v>0</v>
      </c>
      <c r="AG52" s="5" t="n">
        <v>1</v>
      </c>
      <c r="AH52" s="5" t="n">
        <v>0</v>
      </c>
    </row>
    <row r="53" ht="52" customHeight="1">
      <c r="A53" s="6" t="inlineStr">
        <is>
          <t>Naga Ntt</t>
        </is>
      </c>
      <c r="B53" s="6" t="inlineStr">
        <is>
          <t>naga_ntt_indonesia</t>
        </is>
      </c>
      <c r="C53" s="6" t="inlineStr">
        <is>
          <t>Nusa Tenggara</t>
        </is>
      </c>
      <c r="D53" s="6" t="inlineStr">
        <is>
          <t>Sasak / NTT communities</t>
        </is>
      </c>
      <c r="E53" s="6" t="inlineStr">
        <is>
          <t>NatureAncestral Spirit</t>
        </is>
      </c>
      <c r="F53" s="6" t="inlineStr">
        <is>
          <t>Serpent / naga hybrid</t>
        </is>
      </c>
      <c r="G53" s="6" t="inlineStr">
        <is>
          <t>Spiritual energy / offerings</t>
        </is>
      </c>
      <c r="H53" s="6" t="n">
        <v>2</v>
      </c>
      <c r="I53" s="6" t="inlineStr">
        <is>
          <t>Folklore-synthesis summary: a natureancestral spirit figure in Nusa Tenggara tradition; behaviour and origin motifs as coded in the source files. Treat as a comparative motif summary, not a single canonical tale — local variants differ by village and teller.</t>
        </is>
      </c>
      <c r="J53" s="6" t="inlineStr">
        <is>
          <t>Serpent / naga hybrid. See Morphology and trait matrix for coded features (hair/fur, head detachment, fire, flight).</t>
        </is>
      </c>
      <c r="K53" s="6" t="inlineStr">
        <is>
          <t>Unknown</t>
        </is>
      </c>
      <c r="L53" s="6" t="inlineStr">
        <is>
          <t>Specific ritual offeringsBanyan wood</t>
        </is>
      </c>
      <c r="M53" s="6" t="inlineStr">
        <is>
          <t>Recurring figure in Indonesian horror film, television, comics and oral storytelling; specific portrayals vary widely by medium and region.</t>
        </is>
      </c>
      <c r="N53" s="6" t="inlineStr">
        <is>
          <t>Ingroup</t>
        </is>
      </c>
      <c r="O53" s="6" t="inlineStr">
        <is>
          <t>Yes — tip in 61-taxon IQ-TREE</t>
        </is>
      </c>
      <c r="P53" s="6" t="inlineStr">
        <is>
          <t>YES — one or more '?' traits filled by folklore synthesis</t>
        </is>
      </c>
      <c r="Q53" s="6" t="n">
        <v>0</v>
      </c>
      <c r="R53" s="6" t="n">
        <v>2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1</v>
      </c>
      <c r="AE53" s="6" t="n">
        <v>1</v>
      </c>
      <c r="AF53" s="6" t="n">
        <v>0</v>
      </c>
      <c r="AG53" s="6" t="n">
        <v>0</v>
      </c>
      <c r="AH53" s="6" t="n">
        <v>0</v>
      </c>
    </row>
    <row r="54" ht="52" customHeight="1">
      <c r="A54" s="5" t="inlineStr">
        <is>
          <t>Kelimutu Spirit Flores</t>
        </is>
      </c>
      <c r="B54" s="5" t="inlineStr">
        <is>
          <t>kelimutu_spirit_flores_indonesia</t>
        </is>
      </c>
      <c r="C54" s="5" t="inlineStr">
        <is>
          <t>Flores / NTT</t>
        </is>
      </c>
      <c r="D54" s="5" t="inlineStr">
        <is>
          <t>Flores / Ngada and related NTT communities</t>
        </is>
      </c>
      <c r="E54" s="5" t="inlineStr">
        <is>
          <t>NatureAncestral Spirit</t>
        </is>
      </c>
      <c r="F54" s="5" t="inlineStr">
        <is>
          <t>Masked / costumed deity form</t>
        </is>
      </c>
      <c r="G54" s="5" t="inlineStr">
        <is>
          <t>Non-consumptive (no feeding)</t>
        </is>
      </c>
      <c r="H54" s="5" t="n">
        <v>2</v>
      </c>
      <c r="I54" s="5" t="inlineStr">
        <is>
          <t>Folklore-synthesis summary: a natureancestral spirit figure in Flores / NTT tradition; behaviour and origin motifs as coded in the source files. Treat as a comparative motif summary, not a single canonical tale — local variants differ by village and teller.</t>
        </is>
      </c>
      <c r="J54" s="5" t="inlineStr">
        <is>
          <t>Masked / costumed deity form. See Morphology and trait matrix for coded features (hair/fur, head detachment, fire, flight).</t>
        </is>
      </c>
      <c r="K54" s="5" t="inlineStr">
        <is>
          <t>Inhabits sacred stonestreessprings</t>
        </is>
      </c>
      <c r="L54" s="5" t="inlineStr">
        <is>
          <t>Breaking ancestral taboo</t>
        </is>
      </c>
      <c r="M54" s="5" t="inlineStr">
        <is>
          <t>Recurring figure in Indonesian horror film, television, comics and oral storytelling; specific portrayals vary widely by medium and region.</t>
        </is>
      </c>
      <c r="N54" s="5" t="inlineStr">
        <is>
          <t>Ingroup</t>
        </is>
      </c>
      <c r="O54" s="5" t="inlineStr">
        <is>
          <t>Yes — tip in 61-taxon IQ-TREE</t>
        </is>
      </c>
      <c r="P54" s="5" t="inlineStr">
        <is>
          <t>YES — one or more '?' traits filled by folklore synthesis</t>
        </is>
      </c>
      <c r="Q54" s="5" t="n">
        <v>1</v>
      </c>
      <c r="R54" s="5" t="n">
        <v>2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v>0</v>
      </c>
      <c r="X54" s="5" t="n">
        <v>0</v>
      </c>
      <c r="Y54" s="5" t="n">
        <v>0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1</v>
      </c>
      <c r="AF54" s="5" t="n">
        <v>0</v>
      </c>
      <c r="AG54" s="5" t="n">
        <v>0</v>
      </c>
      <c r="AH54" s="5" t="n">
        <v>0</v>
      </c>
    </row>
    <row r="55" ht="52" customHeight="1">
      <c r="A55" s="6" t="inlineStr">
        <is>
          <t>Homang Papua</t>
        </is>
      </c>
      <c r="B55" s="6" t="inlineStr">
        <is>
          <t>homang_papua_indonesia</t>
        </is>
      </c>
      <c r="C55" s="6" t="inlineStr">
        <is>
          <t>Papua</t>
        </is>
      </c>
      <c r="D55" s="6" t="inlineStr">
        <is>
          <t>Papuan (Asmat / Sentani and related)</t>
        </is>
      </c>
      <c r="E55" s="6" t="inlineStr">
        <is>
          <t>TherianthropeShapeshifter</t>
        </is>
      </c>
      <c r="F55" s="6" t="inlineStr">
        <is>
          <t>Tiger–human hybrid</t>
        </is>
      </c>
      <c r="G55" s="6" t="inlineStr">
        <is>
          <t>Non-consumptive (no feeding)</t>
        </is>
      </c>
      <c r="H55" s="6" t="n">
        <v>4</v>
      </c>
      <c r="I55" s="6" t="inlineStr">
        <is>
          <t>Folklore-synthesis summary: a therianthropeshapeshifter figure in Papua tradition; behaviour and origin motifs as coded in the source files. Treat as a comparative motif summary, not a single canonical tale — local variants differ by village and teller.</t>
        </is>
      </c>
      <c r="J55" s="6" t="inlineStr">
        <is>
          <t>Tiger–human hybrid. See Morphology and trait matrix for coded features (hair/fur, head detachment, fire, flight).</t>
        </is>
      </c>
      <c r="K55" s="6" t="inlineStr">
        <is>
          <t>Unknown</t>
        </is>
      </c>
      <c r="L55" s="6" t="inlineStr">
        <is>
          <t>Breaking ancestral taboo</t>
        </is>
      </c>
      <c r="M55" s="6" t="inlineStr">
        <is>
          <t>Recurring figure in Indonesian horror film, television, comics and oral storytelling; specific portrayals vary widely by medium and region.</t>
        </is>
      </c>
      <c r="N55" s="6" t="inlineStr">
        <is>
          <t>Ingroup</t>
        </is>
      </c>
      <c r="O55" s="6" t="inlineStr">
        <is>
          <t>Yes — tip in 61-taxon IQ-TREE</t>
        </is>
      </c>
      <c r="P55" s="6" t="inlineStr">
        <is>
          <t>YES — one or more '?' traits filled by folklore synthesis</t>
        </is>
      </c>
      <c r="Q55" s="6" t="n">
        <v>1</v>
      </c>
      <c r="R55" s="6" t="n">
        <v>2</v>
      </c>
      <c r="S55" s="6" t="n">
        <v>0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1</v>
      </c>
      <c r="AA55" s="6" t="n">
        <v>1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  <c r="AH55" s="6" t="n">
        <v>0</v>
      </c>
    </row>
    <row r="56" ht="52" customHeight="1">
      <c r="A56" s="5" t="inlineStr">
        <is>
          <t>Kaiamunu Papua</t>
        </is>
      </c>
      <c r="B56" s="5" t="inlineStr">
        <is>
          <t>kaiamunu_papua_indonesia</t>
        </is>
      </c>
      <c r="C56" s="5" t="inlineStr">
        <is>
          <t>Papua</t>
        </is>
      </c>
      <c r="D56" s="5" t="inlineStr">
        <is>
          <t>Papuan (Asmat / Sentani and related)</t>
        </is>
      </c>
      <c r="E56" s="5" t="inlineStr">
        <is>
          <t>Volant Cryptid</t>
        </is>
      </c>
      <c r="F56" s="5" t="inlineStr">
        <is>
          <t>Serpent / naga hybrid</t>
        </is>
      </c>
      <c r="G56" s="5" t="inlineStr">
        <is>
          <t>Flesh / meat / fauna</t>
        </is>
      </c>
      <c r="H56" s="5" t="n">
        <v>3</v>
      </c>
      <c r="I56" s="5" t="inlineStr">
        <is>
          <t>Folklore-synthesis summary: a volant cryptid figure in Papua tradition; behaviour and origin motifs as coded in the source files. Treat as a comparative motif summary, not a single canonical tale — local variants differ by village and teller.</t>
        </is>
      </c>
      <c r="J56" s="5" t="inlineStr">
        <is>
          <t>Serpent / naga hybrid. See Morphology and trait matrix for coded features (hair/fur, head detachment, fire, flight).</t>
        </is>
      </c>
      <c r="K56" s="5" t="inlineStr">
        <is>
          <t>Unknown</t>
        </is>
      </c>
      <c r="L56" s="5" t="inlineStr">
        <is>
          <t>None Biological entity</t>
        </is>
      </c>
      <c r="M56" s="5" t="inlineStr">
        <is>
          <t>Recurring figure in Indonesian horror film, television, comics and oral storytelling; specific portrayals vary widely by medium and region.</t>
        </is>
      </c>
      <c r="N56" s="5" t="inlineStr">
        <is>
          <t>Ingroup</t>
        </is>
      </c>
      <c r="O56" s="5" t="inlineStr">
        <is>
          <t>Yes — tip in 61-taxon IQ-TREE</t>
        </is>
      </c>
      <c r="P56" s="5" t="inlineStr">
        <is>
          <t>YES — one or more '?' traits filled by folklore synthesis</t>
        </is>
      </c>
      <c r="Q56" s="5" t="n">
        <v>0</v>
      </c>
      <c r="R56" s="5" t="n">
        <v>2</v>
      </c>
      <c r="S56" s="5" t="n">
        <v>0</v>
      </c>
      <c r="T56" s="5" t="n">
        <v>1</v>
      </c>
      <c r="U56" s="5" t="n">
        <v>1</v>
      </c>
      <c r="V56" s="5" t="n">
        <v>0</v>
      </c>
      <c r="W56" s="5" t="n">
        <v>0</v>
      </c>
      <c r="X56" s="5" t="n">
        <v>1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1</v>
      </c>
      <c r="AE56" s="5" t="n">
        <v>1</v>
      </c>
      <c r="AF56" s="5" t="n">
        <v>0</v>
      </c>
      <c r="AG56" s="5" t="n">
        <v>0</v>
      </c>
      <c r="AH56" s="5" t="n">
        <v>0</v>
      </c>
    </row>
    <row r="57" ht="52" customHeight="1">
      <c r="A57" s="6" t="inlineStr">
        <is>
          <t>Kapre Papua</t>
        </is>
      </c>
      <c r="B57" s="6" t="inlineStr">
        <is>
          <t>kapre_papua_indonesia</t>
        </is>
      </c>
      <c r="C57" s="6" t="inlineStr">
        <is>
          <t>Papua</t>
        </is>
      </c>
      <c r="D57" s="6" t="inlineStr">
        <is>
          <t>Papuan (Asmat / Sentani and related)</t>
        </is>
      </c>
      <c r="E57" s="6" t="inlineStr">
        <is>
          <t>Hominid Cryptid</t>
        </is>
      </c>
      <c r="F57" s="6" t="inlineStr">
        <is>
          <t>Bipedal primate / ape-like</t>
        </is>
      </c>
      <c r="G57" s="6" t="inlineStr">
        <is>
          <t>Unknown</t>
        </is>
      </c>
      <c r="H57" s="6" t="n">
        <v>3</v>
      </c>
      <c r="I57" s="6" t="inlineStr">
        <is>
          <t>Folklore-synthesis summary: a hominid cryptid figure in Papua tradition; behaviour and origin motifs as coded in the source files. Treat as a comparative motif summary, not a single canonical tale — local variants differ by village and teller.</t>
        </is>
      </c>
      <c r="J57" s="6" t="inlineStr">
        <is>
          <t>Bipedal primate / ape-like. See Morphology and trait matrix for coded features (hair/fur, head detachment, fire, flight).</t>
        </is>
      </c>
      <c r="K57" s="6" t="inlineStr">
        <is>
          <t>Banyan tree association</t>
        </is>
      </c>
      <c r="L57" s="6" t="inlineStr">
        <is>
          <t>Unknown</t>
        </is>
      </c>
      <c r="M57" s="6" t="inlineStr">
        <is>
          <t>Recurring figure in Indonesian horror film, television, comics and oral storytelling; specific portrayals vary widely by medium and region.</t>
        </is>
      </c>
      <c r="N57" s="6" t="inlineStr">
        <is>
          <t>Ingroup</t>
        </is>
      </c>
      <c r="O57" s="6" t="inlineStr">
        <is>
          <t>Yes — tip in 61-taxon IQ-TREE</t>
        </is>
      </c>
      <c r="P57" s="6" t="inlineStr">
        <is>
          <t>YES — one or more '?' traits filled by folklore synthesis</t>
        </is>
      </c>
      <c r="Q57" s="6" t="n">
        <v>1</v>
      </c>
      <c r="R57" s="6" t="n">
        <v>2</v>
      </c>
      <c r="S57" s="6" t="n">
        <v>0</v>
      </c>
      <c r="T57" s="6" t="n">
        <v>1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1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1</v>
      </c>
      <c r="AF57" s="6" t="n">
        <v>0</v>
      </c>
      <c r="AG57" s="6" t="n">
        <v>0</v>
      </c>
      <c r="AH57" s="6" t="n">
        <v>0</v>
      </c>
    </row>
    <row r="58" ht="52" customHeight="1">
      <c r="A58" s="5" t="inlineStr">
        <is>
          <t>Bake Asmat Papua</t>
        </is>
      </c>
      <c r="B58" s="5" t="inlineStr">
        <is>
          <t>bake_asmat_papua_indonesia</t>
        </is>
      </c>
      <c r="C58" s="5" t="inlineStr">
        <is>
          <t>Papua</t>
        </is>
      </c>
      <c r="D58" s="5" t="inlineStr">
        <is>
          <t>Papuan (Asmat / Sentani and related)</t>
        </is>
      </c>
      <c r="E58" s="5" t="inlineStr">
        <is>
          <t>UndeadRevenant</t>
        </is>
      </c>
      <c r="F58" s="5" t="inlineStr">
        <is>
          <t>Masked / costumed deity form</t>
        </is>
      </c>
      <c r="G58" s="5" t="inlineStr">
        <is>
          <t>Life force / soul</t>
        </is>
      </c>
      <c r="H58" s="5" t="n">
        <v>3</v>
      </c>
      <c r="I58" s="5" t="inlineStr">
        <is>
          <t>Folklore-synthesis summary: a undeadrevenant figure in Papua tradition; behaviour and origin motifs as coded in the source files. Treat as a comparative motif summary, not a single canonical tale — local variants differ by village and teller.</t>
        </is>
      </c>
      <c r="J58" s="5" t="inlineStr">
        <is>
          <t>Masked / costumed deity form. See Morphology and trait matrix for coded features (hair/fur, head detachment, fire, flight).</t>
        </is>
      </c>
      <c r="K58" s="5" t="inlineStr">
        <is>
          <t>Unknown</t>
        </is>
      </c>
      <c r="L58" s="5" t="inlineStr">
        <is>
          <t>Holy prayerswater</t>
        </is>
      </c>
      <c r="M58" s="5" t="inlineStr">
        <is>
          <t>Recurring figure in Indonesian horror film, television, comics and oral storytelling; specific portrayals vary widely by medium and region.</t>
        </is>
      </c>
      <c r="N58" s="5" t="inlineStr">
        <is>
          <t>Ingroup</t>
        </is>
      </c>
      <c r="O58" s="5" t="inlineStr">
        <is>
          <t>Yes — tip in 61-taxon IQ-TREE</t>
        </is>
      </c>
      <c r="P58" s="5" t="inlineStr">
        <is>
          <t>YES — one or more '?' traits filled by folklore synthesis</t>
        </is>
      </c>
      <c r="Q58" s="5" t="n">
        <v>1</v>
      </c>
      <c r="R58" s="5" t="n">
        <v>2</v>
      </c>
      <c r="S58" s="5" t="n">
        <v>1</v>
      </c>
      <c r="T58" s="5" t="n">
        <v>1</v>
      </c>
      <c r="U58" s="5" t="n">
        <v>0</v>
      </c>
      <c r="V58" s="5" t="n">
        <v>1</v>
      </c>
      <c r="W58" s="5" t="n">
        <v>0</v>
      </c>
      <c r="X58" s="5" t="n">
        <v>0</v>
      </c>
      <c r="Y58" s="5" t="n">
        <v>0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1</v>
      </c>
      <c r="AG58" s="5" t="n">
        <v>0</v>
      </c>
      <c r="AH58" s="5" t="n">
        <v>0</v>
      </c>
    </row>
    <row r="59" ht="52" customHeight="1">
      <c r="A59" s="6" t="inlineStr">
        <is>
          <t>Ndope Sentani Papua</t>
        </is>
      </c>
      <c r="B59" s="6" t="inlineStr">
        <is>
          <t>ndope_sentani_papua_indonesia</t>
        </is>
      </c>
      <c r="C59" s="6" t="inlineStr">
        <is>
          <t>Papua</t>
        </is>
      </c>
      <c r="D59" s="6" t="inlineStr">
        <is>
          <t>Papuan (Asmat / Sentani and related)</t>
        </is>
      </c>
      <c r="E59" s="6" t="inlineStr">
        <is>
          <t>Vengeful Female</t>
        </is>
      </c>
      <c r="F59" s="6" t="inlineStr">
        <is>
          <t>Spectral female</t>
        </is>
      </c>
      <c r="G59" s="6" t="inlineStr">
        <is>
          <t>Blood / fetuses</t>
        </is>
      </c>
      <c r="H59" s="6" t="n">
        <v>5</v>
      </c>
      <c r="I59" s="6" t="inlineStr">
        <is>
          <t>Folklore-synthesis summary: a vengeful female figure in Papua tradition; behaviour and origin motifs as coded in the source files. Treat as a comparative motif summary, not a single canonical tale — local variants differ by village and teller.</t>
        </is>
      </c>
      <c r="J59" s="6" t="inlineStr">
        <is>
          <t>Spectral female. See Morphology and trait matrix for coded features (hair/fur, head detachment, fire, flight).</t>
        </is>
      </c>
      <c r="K59" s="6" t="inlineStr">
        <is>
          <t>Unknown</t>
        </is>
      </c>
      <c r="L59" s="6" t="inlineStr">
        <is>
          <t>Maternal mortality origin</t>
        </is>
      </c>
      <c r="M59" s="6" t="inlineStr">
        <is>
          <t>Recurring figure in Indonesian horror film, television, comics and oral storytelling; specific portrayals vary widely by medium and region.</t>
        </is>
      </c>
      <c r="N59" s="6" t="inlineStr">
        <is>
          <t>Ingroup</t>
        </is>
      </c>
      <c r="O59" s="6" t="inlineStr">
        <is>
          <t>Yes — tip in 61-taxon IQ-TREE</t>
        </is>
      </c>
      <c r="P59" s="6" t="inlineStr">
        <is>
          <t>YES — one or more '?' traits filled by folklore synthesis</t>
        </is>
      </c>
      <c r="Q59" s="6" t="n">
        <v>1</v>
      </c>
      <c r="R59" s="6" t="n">
        <v>1</v>
      </c>
      <c r="S59" s="6" t="n">
        <v>1</v>
      </c>
      <c r="T59" s="6" t="n">
        <v>0</v>
      </c>
      <c r="U59" s="6" t="n">
        <v>0</v>
      </c>
      <c r="V59" s="6" t="n">
        <v>1</v>
      </c>
      <c r="W59" s="6" t="n">
        <v>1</v>
      </c>
      <c r="X59" s="6" t="n">
        <v>1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1</v>
      </c>
      <c r="AG59" s="6" t="n">
        <v>0</v>
      </c>
      <c r="AH59" s="6" t="n">
        <v>0</v>
      </c>
    </row>
    <row r="60" ht="52" customHeight="1">
      <c r="A60" s="5" t="inlineStr">
        <is>
          <t>Lampor Java</t>
        </is>
      </c>
      <c r="B60" s="5" t="inlineStr">
        <is>
          <t>lampor_java_indonesia</t>
        </is>
      </c>
      <c r="C60" s="5" t="inlineStr">
        <is>
          <t>Java</t>
        </is>
      </c>
      <c r="D60" s="5" t="inlineStr">
        <is>
          <t>Javanese</t>
        </is>
      </c>
      <c r="E60" s="5" t="inlineStr">
        <is>
          <t>ElementalDemonic</t>
        </is>
      </c>
      <c r="F60" s="5" t="inlineStr">
        <is>
          <t>Flying coffin / spectral procession</t>
        </is>
      </c>
      <c r="G60" s="5" t="inlineStr">
        <is>
          <t>Non-consumptive (no feeding)</t>
        </is>
      </c>
      <c r="H60" s="5" t="n">
        <v>4</v>
      </c>
      <c r="I60" s="5" t="inlineStr">
        <is>
          <t>Folklore-synthesis summary: a elementaldemonic figure in Java tradition; behaviour and origin motifs as coded in the source files. Treat as a comparative motif summary, not a single canonical tale — local variants differ by village and teller.</t>
        </is>
      </c>
      <c r="J60" s="5" t="inlineStr">
        <is>
          <t>Flying coffin / spectral procession. See Morphology and trait matrix for coded features (hair/fur, head detachment, fire, flight).</t>
        </is>
      </c>
      <c r="K60" s="5" t="inlineStr">
        <is>
          <t>Loud knockingbrings disease</t>
        </is>
      </c>
      <c r="L60" s="5" t="inlineStr">
        <is>
          <t>Loud noisesbanging pots</t>
        </is>
      </c>
      <c r="M60" s="5" t="inlineStr">
        <is>
          <t>Recurring figure in Indonesian horror film, television, comics and oral storytelling; specific portrayals vary widely by medium and region.</t>
        </is>
      </c>
      <c r="N60" s="5" t="inlineStr">
        <is>
          <t>Ingroup</t>
        </is>
      </c>
      <c r="O60" s="5" t="inlineStr">
        <is>
          <t>Yes — tip in 61-taxon IQ-TREE</t>
        </is>
      </c>
      <c r="P60" s="5" t="inlineStr">
        <is>
          <t>YES — one or more '?' traits filled by folklore synthesis</t>
        </is>
      </c>
      <c r="Q60" s="5" t="n">
        <v>0</v>
      </c>
      <c r="R60" s="5" t="n">
        <v>2</v>
      </c>
      <c r="S60" s="5" t="n">
        <v>0</v>
      </c>
      <c r="T60" s="5" t="n">
        <v>0</v>
      </c>
      <c r="U60" s="5" t="n">
        <v>1</v>
      </c>
      <c r="V60" s="5" t="n">
        <v>0</v>
      </c>
      <c r="W60" s="5" t="n">
        <v>0</v>
      </c>
      <c r="X60" s="5" t="n">
        <v>0</v>
      </c>
      <c r="Y60" s="5" t="n">
        <v>0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1</v>
      </c>
      <c r="AH60" s="5" t="n">
        <v>0</v>
      </c>
    </row>
    <row r="61" ht="52" customHeight="1">
      <c r="A61" s="6" t="inlineStr">
        <is>
          <t>Wedon Java</t>
        </is>
      </c>
      <c r="B61" s="6" t="inlineStr">
        <is>
          <t>wedon_java_indonesia</t>
        </is>
      </c>
      <c r="C61" s="6" t="inlineStr">
        <is>
          <t>Java</t>
        </is>
      </c>
      <c r="D61" s="6" t="inlineStr">
        <is>
          <t>Javanese</t>
        </is>
      </c>
      <c r="E61" s="6" t="inlineStr">
        <is>
          <t>Vengeful Female</t>
        </is>
      </c>
      <c r="F61" s="6" t="inlineStr">
        <is>
          <t>Spectral female</t>
        </is>
      </c>
      <c r="G61" s="6" t="inlineStr">
        <is>
          <t>Unknown</t>
        </is>
      </c>
      <c r="H61" s="6" t="n">
        <v>4</v>
      </c>
      <c r="I61" s="6" t="inlineStr">
        <is>
          <t>Folklore-synthesis summary: a vengeful female figure in Java tradition; behaviour and origin motifs as coded in the source files. Treat as a comparative motif summary, not a single canonical tale — local variants differ by village and teller.</t>
        </is>
      </c>
      <c r="J61" s="6" t="inlineStr">
        <is>
          <t>Spectral female. See Morphology and trait matrix for coded features (hair/fur, head detachment, fire, flight).</t>
        </is>
      </c>
      <c r="K61" s="6" t="inlineStr">
        <is>
          <t>Conceals backpatriarchal revenge</t>
        </is>
      </c>
      <c r="L61" s="6" t="inlineStr">
        <is>
          <t>Sexual assault origin</t>
        </is>
      </c>
      <c r="M61" s="6" t="inlineStr">
        <is>
          <t>Recurring figure in Indonesian horror film, television, comics and oral storytelling; specific portrayals vary widely by medium and region.</t>
        </is>
      </c>
      <c r="N61" s="6" t="inlineStr">
        <is>
          <t>Ingroup</t>
        </is>
      </c>
      <c r="O61" s="6" t="inlineStr">
        <is>
          <t>Yes — tip in 61-taxon IQ-TREE</t>
        </is>
      </c>
      <c r="P61" s="6" t="inlineStr">
        <is>
          <t>YES — one or more '?' traits filled by folklore synthesis</t>
        </is>
      </c>
      <c r="Q61" s="6" t="n">
        <v>1</v>
      </c>
      <c r="R61" s="6" t="n">
        <v>1</v>
      </c>
      <c r="S61" s="6" t="n">
        <v>1</v>
      </c>
      <c r="T61" s="6" t="n">
        <v>0</v>
      </c>
      <c r="U61" s="6" t="n">
        <v>0</v>
      </c>
      <c r="V61" s="6" t="n">
        <v>1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0</v>
      </c>
      <c r="AC61" s="6" t="n">
        <v>0</v>
      </c>
      <c r="AD61" s="6" t="n">
        <v>0</v>
      </c>
      <c r="AE61" s="6" t="n">
        <v>0</v>
      </c>
      <c r="AF61" s="6" t="n">
        <v>1</v>
      </c>
      <c r="AG61" s="6" t="n">
        <v>0</v>
      </c>
      <c r="AH61" s="6" t="n">
        <v>0</v>
      </c>
    </row>
    <row r="62" ht="52" customHeight="1">
      <c r="A62" s="5" t="inlineStr">
        <is>
          <t>Kepala Buntung Java</t>
        </is>
      </c>
      <c r="B62" s="5" t="inlineStr">
        <is>
          <t>kepala_buntung_java_indonesia</t>
        </is>
      </c>
      <c r="C62" s="5" t="inlineStr">
        <is>
          <t>Java</t>
        </is>
      </c>
      <c r="D62" s="5" t="inlineStr">
        <is>
          <t>Javanese</t>
        </is>
      </c>
      <c r="E62" s="5" t="inlineStr">
        <is>
          <t>Volant Viscerophage</t>
        </is>
      </c>
      <c r="F62" s="5" t="inlineStr">
        <is>
          <t>Shrouded corpse</t>
        </is>
      </c>
      <c r="G62" s="5" t="inlineStr">
        <is>
          <t>Blood / fetuses</t>
        </is>
      </c>
      <c r="H62" s="5" t="n">
        <v>5</v>
      </c>
      <c r="I62" s="5" t="inlineStr">
        <is>
          <t>Folklore-synthesis summary: a volant viscerophage figure in Java tradition; behaviour and origin motifs as coded in the source files. Treat as a comparative motif summary, not a single canonical tale — local variants differ by village and teller.</t>
        </is>
      </c>
      <c r="J62" s="5" t="inlineStr">
        <is>
          <t>Shrouded corpse. See Morphology and trait matrix for coded features (hair/fur, head detachment, fire, flight).</t>
        </is>
      </c>
      <c r="K62" s="5" t="inlineStr">
        <is>
          <t>Headless locomotionterrifies passersby</t>
        </is>
      </c>
      <c r="L62" s="5" t="inlineStr">
        <is>
          <t>Vinegarbroken glass</t>
        </is>
      </c>
      <c r="M62" s="5" t="inlineStr">
        <is>
          <t>Recurring figure in Indonesian horror film, television, comics and oral storytelling; specific portrayals vary widely by medium and region.</t>
        </is>
      </c>
      <c r="N62" s="5" t="inlineStr">
        <is>
          <t>Ingroup</t>
        </is>
      </c>
      <c r="O62" s="5" t="inlineStr">
        <is>
          <t>Yes — tip in 61-taxon IQ-TREE</t>
        </is>
      </c>
      <c r="P62" s="5" t="inlineStr">
        <is>
          <t>YES — one or more '?' traits filled by folklore synthesis</t>
        </is>
      </c>
      <c r="Q62" s="5" t="n">
        <v>1</v>
      </c>
      <c r="R62" s="5" t="n">
        <v>2</v>
      </c>
      <c r="S62" s="5" t="n">
        <v>0</v>
      </c>
      <c r="T62" s="5" t="n">
        <v>0</v>
      </c>
      <c r="U62" s="5" t="n">
        <v>1</v>
      </c>
      <c r="V62" s="5" t="n">
        <v>0</v>
      </c>
      <c r="W62" s="5" t="n">
        <v>1</v>
      </c>
      <c r="X62" s="5" t="n">
        <v>1</v>
      </c>
      <c r="Y62" s="5" t="n">
        <v>0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1</v>
      </c>
      <c r="AH62" s="5" t="n">
        <v>0</v>
      </c>
    </row>
    <row r="63" ht="52" customHeight="1">
      <c r="A63" s="6" t="inlineStr">
        <is>
          <t>Pontianak</t>
        </is>
      </c>
      <c r="B63" s="6" t="inlineStr">
        <is>
          <t>pontianak_kalimantan_indonesia</t>
        </is>
      </c>
      <c r="C63" s="6" t="inlineStr">
        <is>
          <t>Kalimantan</t>
        </is>
      </c>
      <c r="D63" s="6" t="inlineStr">
        <is>
          <t>Malay / Banjar (Kalimantan)</t>
        </is>
      </c>
      <c r="E63" s="6" t="inlineStr">
        <is>
          <t>Vengeful Female</t>
        </is>
      </c>
      <c r="F63" s="6" t="inlineStr">
        <is>
          <t>Spectral female</t>
        </is>
      </c>
      <c r="G63" s="6" t="inlineStr">
        <is>
          <t>Blood / fetuses</t>
        </is>
      </c>
      <c r="H63" s="6" t="n">
        <v>5</v>
      </c>
      <c r="I63" s="6" t="inlineStr">
        <is>
          <t>Woman who died in childbirth (Malay cognate of Kuntilanak).</t>
        </is>
      </c>
      <c r="J63" s="6" t="inlineStr">
        <is>
          <t>Spectral female. Coded features are in the trait matrix.</t>
        </is>
      </c>
      <c r="K63" s="6" t="inlineStr">
        <is>
          <t>Banana-tree and riverside haunting; long nails; scent of frangipani then foul odour.</t>
        </is>
      </c>
      <c r="L63" s="6" t="inlineStr">
        <is>
          <t>Nail driven into the neck hole (classic Malay lore); prayers.</t>
        </is>
      </c>
      <c r="M63" s="6" t="inlineStr">
        <is>
          <t>Comparative expansion entry added in v3 from widely retold Indonesian / Southeast Asian folklore motifs; portrayals vary by region and medium.</t>
        </is>
      </c>
      <c r="N63" s="6" t="inlineStr">
        <is>
          <t>Ingroup</t>
        </is>
      </c>
      <c r="O63" s="6" t="inlineStr">
        <is>
          <t>No — incertae sedis / not yet sampled</t>
        </is>
      </c>
      <c r="P63" s="6" t="inlineStr">
        <is>
          <t>YES — new v3 entry, coded by folklore synthesis (not in source files)</t>
        </is>
      </c>
      <c r="Q63" s="6" t="n">
        <v>1</v>
      </c>
      <c r="R63" s="6" t="n">
        <v>1</v>
      </c>
      <c r="S63" s="6" t="n">
        <v>1</v>
      </c>
      <c r="T63" s="6" t="n">
        <v>0</v>
      </c>
      <c r="U63" s="6" t="n">
        <v>1</v>
      </c>
      <c r="V63" s="6" t="n">
        <v>0</v>
      </c>
      <c r="W63" s="6" t="n">
        <v>1</v>
      </c>
      <c r="X63" s="6" t="n">
        <v>1</v>
      </c>
      <c r="Y63" s="6" t="n">
        <v>1</v>
      </c>
      <c r="Z63" s="6" t="n">
        <v>0</v>
      </c>
      <c r="AA63" s="6" t="n">
        <v>0</v>
      </c>
      <c r="AB63" s="6" t="n">
        <v>0</v>
      </c>
      <c r="AC63" s="6" t="n">
        <v>0</v>
      </c>
      <c r="AD63" s="6" t="n">
        <v>0</v>
      </c>
      <c r="AE63" s="6" t="n">
        <v>0</v>
      </c>
      <c r="AF63" s="6" t="n">
        <v>1</v>
      </c>
      <c r="AG63" s="6" t="n">
        <v>1</v>
      </c>
      <c r="AH63" s="6" t="n">
        <v>0</v>
      </c>
    </row>
    <row r="64" ht="52" customHeight="1">
      <c r="A64" s="5" t="inlineStr">
        <is>
          <t>Kuntilanak Merah</t>
        </is>
      </c>
      <c r="B64" s="5" t="inlineStr">
        <is>
          <t>kuntilanak_merah_java_indonesia</t>
        </is>
      </c>
      <c r="C64" s="5" t="inlineStr">
        <is>
          <t>Java</t>
        </is>
      </c>
      <c r="D64" s="5" t="inlineStr">
        <is>
          <t>Javanese / urban legend</t>
        </is>
      </c>
      <c r="E64" s="5" t="inlineStr">
        <is>
          <t>Vengeful Female</t>
        </is>
      </c>
      <c r="F64" s="5" t="inlineStr">
        <is>
          <t>Spectral female in red dress</t>
        </is>
      </c>
      <c r="G64" s="5" t="inlineStr">
        <is>
          <t>Blood / flesh</t>
        </is>
      </c>
      <c r="H64" s="5" t="n">
        <v>5</v>
      </c>
      <c r="I64" s="5" t="inlineStr">
        <is>
          <t>Violent or unjust death variant of Kuntilanak, marked by the red dress.</t>
        </is>
      </c>
      <c r="J64" s="5" t="inlineStr">
        <is>
          <t>Spectral female in red dress. Coded features are in the trait matrix.</t>
        </is>
      </c>
      <c r="K64" s="5" t="inlineStr">
        <is>
          <t>More aggressive haunting; appears at roads and abandoned houses.</t>
        </is>
      </c>
      <c r="L64" s="5" t="inlineStr">
        <is>
          <t>Prayers; iron / protective amulets in popular retellings.</t>
        </is>
      </c>
      <c r="M64" s="5" t="inlineStr">
        <is>
          <t>Comparative expansion entry added in v3 from widely retold Indonesian / Southeast Asian folklore motifs; portrayals vary by region and medium.</t>
        </is>
      </c>
      <c r="N64" s="5" t="inlineStr">
        <is>
          <t>Ingroup</t>
        </is>
      </c>
      <c r="O64" s="5" t="inlineStr">
        <is>
          <t>No — incertae sedis / not yet sampled</t>
        </is>
      </c>
      <c r="P64" s="5" t="inlineStr">
        <is>
          <t>YES — new v3 entry, coded by folklore synthesis (not in source files)</t>
        </is>
      </c>
      <c r="Q64" s="5" t="n">
        <v>1</v>
      </c>
      <c r="R64" s="5" t="n">
        <v>1</v>
      </c>
      <c r="S64" s="5" t="n">
        <v>1</v>
      </c>
      <c r="T64" s="5" t="n">
        <v>0</v>
      </c>
      <c r="U64" s="5" t="n">
        <v>1</v>
      </c>
      <c r="V64" s="5" t="n">
        <v>0</v>
      </c>
      <c r="W64" s="5" t="n">
        <v>1</v>
      </c>
      <c r="X64" s="5" t="n">
        <v>1</v>
      </c>
      <c r="Y64" s="5" t="n">
        <v>1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1</v>
      </c>
      <c r="AG64" s="5" t="n">
        <v>1</v>
      </c>
      <c r="AH64" s="5" t="n">
        <v>0</v>
      </c>
    </row>
    <row r="65" ht="52" customHeight="1">
      <c r="A65" s="6" t="inlineStr">
        <is>
          <t>Nyai Blorong</t>
        </is>
      </c>
      <c r="B65" s="6" t="inlineStr">
        <is>
          <t>nyai_blorong_java_indonesia</t>
        </is>
      </c>
      <c r="C65" s="6" t="inlineStr">
        <is>
          <t>Java</t>
        </is>
      </c>
      <c r="D65" s="6" t="inlineStr">
        <is>
          <t>Javanese</t>
        </is>
      </c>
      <c r="E65" s="6" t="inlineStr">
        <is>
          <t>Therianthrope / Shapeshifter</t>
        </is>
      </c>
      <c r="F65" s="6" t="inlineStr">
        <is>
          <t>Serpent / naga hybrid (woman above, snake below)</t>
        </is>
      </c>
      <c r="G65" s="6" t="inlineStr">
        <is>
          <t>Life force / soul</t>
        </is>
      </c>
      <c r="H65" s="6" t="n">
        <v>4</v>
      </c>
      <c r="I65" s="6" t="inlineStr">
        <is>
          <t>Wealth-granting serpent queen in pesugihan lore, servant of Nyi Roro Kidul in some tellings.</t>
        </is>
      </c>
      <c r="J65" s="6" t="inlineStr">
        <is>
          <t>Serpent / naga hybrid (woman above, snake below). Coded features are in the trait matrix.</t>
        </is>
      </c>
      <c r="K65" s="6" t="inlineStr">
        <is>
          <t>Grants riches in exchange for a life-price over time.</t>
        </is>
      </c>
      <c r="L65" s="6" t="inlineStr">
        <is>
          <t>Breaking the pact is said to be fatal; ritual counsel sought.</t>
        </is>
      </c>
      <c r="M65" s="6" t="inlineStr">
        <is>
          <t>Comparative expansion entry added in v3 from widely retold Indonesian / Southeast Asian folklore motifs; portrayals vary by region and medium.</t>
        </is>
      </c>
      <c r="N65" s="6" t="inlineStr">
        <is>
          <t>Ingroup</t>
        </is>
      </c>
      <c r="O65" s="6" t="inlineStr">
        <is>
          <t>No — incertae sedis / not yet sampled</t>
        </is>
      </c>
      <c r="P65" s="6" t="inlineStr">
        <is>
          <t>YES — new v3 entry, coded by folklore synthesis (not in source files)</t>
        </is>
      </c>
      <c r="Q65" s="6" t="n">
        <v>1</v>
      </c>
      <c r="R65" s="6" t="n">
        <v>2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1</v>
      </c>
      <c r="AB65" s="6" t="n">
        <v>0</v>
      </c>
      <c r="AC65" s="6" t="n">
        <v>0</v>
      </c>
      <c r="AD65" s="6" t="n">
        <v>0</v>
      </c>
      <c r="AE65" s="6" t="n">
        <v>1</v>
      </c>
      <c r="AF65" s="6" t="n">
        <v>0</v>
      </c>
      <c r="AG65" s="6" t="n">
        <v>0</v>
      </c>
      <c r="AH65" s="6" t="n">
        <v>1</v>
      </c>
    </row>
    <row r="66" ht="52" customHeight="1">
      <c r="A66" s="5" t="inlineStr">
        <is>
          <t>Dewi Lanjar</t>
        </is>
      </c>
      <c r="B66" s="5" t="inlineStr">
        <is>
          <t>dewi_lanjar_java_indonesia</t>
        </is>
      </c>
      <c r="C66" s="5" t="inlineStr">
        <is>
          <t>Java (north coast, Pekalongan)</t>
        </is>
      </c>
      <c r="D66" s="5" t="inlineStr">
        <is>
          <t>Javanese (coastal)</t>
        </is>
      </c>
      <c r="E66" s="5" t="inlineStr">
        <is>
          <t>Nature / Ancestral Spirit</t>
        </is>
      </c>
      <c r="F66" s="5" t="inlineStr">
        <is>
          <t>Spectral female / sea queen</t>
        </is>
      </c>
      <c r="G66" s="5" t="inlineStr">
        <is>
          <t>Non-consumptive</t>
        </is>
      </c>
      <c r="H66" s="5" t="n">
        <v>3</v>
      </c>
      <c r="I66" s="5" t="inlineStr">
        <is>
          <t>Guardian queen of the north coast and its jin realms in Pekalongan lore.</t>
        </is>
      </c>
      <c r="J66" s="5" t="inlineStr">
        <is>
          <t>Spectral female / sea queen. Coded features are in the trait matrix.</t>
        </is>
      </c>
      <c r="K66" s="5" t="inlineStr">
        <is>
          <t>Rules coastal spirits; grants or withholds favour to fishers and traders.</t>
        </is>
      </c>
      <c r="L66" s="5" t="inlineStr">
        <is>
          <t>Offerings and respect for coastal taboos.</t>
        </is>
      </c>
      <c r="M66" s="5" t="inlineStr">
        <is>
          <t>Comparative expansion entry added in v3 from widely retold Indonesian / Southeast Asian folklore motifs; portrayals vary by region and medium.</t>
        </is>
      </c>
      <c r="N66" s="5" t="inlineStr">
        <is>
          <t>Ingroup</t>
        </is>
      </c>
      <c r="O66" s="5" t="inlineStr">
        <is>
          <t>No — incertae sedis / not yet sampled</t>
        </is>
      </c>
      <c r="P66" s="5" t="inlineStr">
        <is>
          <t>YES — new v3 entry, coded by folklore synthesis (not in source files)</t>
        </is>
      </c>
      <c r="Q66" s="5" t="n">
        <v>1</v>
      </c>
      <c r="R66" s="5" t="n">
        <v>1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1</v>
      </c>
      <c r="AF66" s="5" t="n">
        <v>1</v>
      </c>
      <c r="AG66" s="5" t="n">
        <v>0</v>
      </c>
      <c r="AH66" s="5" t="n">
        <v>0</v>
      </c>
    </row>
    <row r="67" ht="52" customHeight="1">
      <c r="A67" s="6" t="inlineStr">
        <is>
          <t>Nyi Pelet</t>
        </is>
      </c>
      <c r="B67" s="6" t="inlineStr">
        <is>
          <t>nyi_pelet_java_indonesia</t>
        </is>
      </c>
      <c r="C67" s="6" t="inlineStr">
        <is>
          <t>Java</t>
        </is>
      </c>
      <c r="D67" s="6" t="inlineStr">
        <is>
          <t>Javanese / Sundanese</t>
        </is>
      </c>
      <c r="E67" s="6" t="inlineStr">
        <is>
          <t>Elemental / Demonic</t>
        </is>
      </c>
      <c r="F67" s="6" t="inlineStr">
        <is>
          <t>Spectral female</t>
        </is>
      </c>
      <c r="G67" s="6" t="inlineStr">
        <is>
          <t>Life force / soul</t>
        </is>
      </c>
      <c r="H67" s="6" t="n">
        <v>4</v>
      </c>
      <c r="I67" s="6" t="inlineStr">
        <is>
          <t>Embodiment of pelet love-magic; a beautiful woman whose charm compels obsession.</t>
        </is>
      </c>
      <c r="J67" s="6" t="inlineStr">
        <is>
          <t>Spectral female. Coded features are in the trait matrix.</t>
        </is>
      </c>
      <c r="K67" s="6" t="inlineStr">
        <is>
          <t>Causes unnatural infatuation and ruin of households.</t>
        </is>
      </c>
      <c r="L67" s="6" t="inlineStr">
        <is>
          <t>Counter-magic and prayers by a dukun.</t>
        </is>
      </c>
      <c r="M67" s="6" t="inlineStr">
        <is>
          <t>Comparative expansion entry added in v3 from widely retold Indonesian / Southeast Asian folklore motifs; portrayals vary by region and medium.</t>
        </is>
      </c>
      <c r="N67" s="6" t="inlineStr">
        <is>
          <t>Ingroup</t>
        </is>
      </c>
      <c r="O67" s="6" t="inlineStr">
        <is>
          <t>No — incertae sedis / not yet sampled</t>
        </is>
      </c>
      <c r="P67" s="6" t="inlineStr">
        <is>
          <t>YES — new v3 entry, coded by folklore synthesis (not in source files)</t>
        </is>
      </c>
      <c r="Q67" s="6" t="n">
        <v>1</v>
      </c>
      <c r="R67" s="6" t="n">
        <v>1</v>
      </c>
      <c r="S67" s="6" t="n">
        <v>0</v>
      </c>
      <c r="T67" s="6" t="n">
        <v>1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1</v>
      </c>
      <c r="AG67" s="6" t="n">
        <v>1</v>
      </c>
      <c r="AH67" s="6" t="n">
        <v>1</v>
      </c>
    </row>
    <row r="68" ht="52" customHeight="1">
      <c r="A68" s="5" t="inlineStr">
        <is>
          <t>Calon Arang</t>
        </is>
      </c>
      <c r="B68" s="5" t="inlineStr">
        <is>
          <t>calon_arang_java_bali</t>
        </is>
      </c>
      <c r="C68" s="5" t="inlineStr">
        <is>
          <t>Java / Bali</t>
        </is>
      </c>
      <c r="D68" s="5" t="inlineStr">
        <is>
          <t>Javanese / Balinese (historical legend)</t>
        </is>
      </c>
      <c r="E68" s="5" t="inlineStr">
        <is>
          <t>Elemental / Demonic</t>
        </is>
      </c>
      <c r="F68" s="5" t="inlineStr">
        <is>
          <t>Human witch (widow)</t>
        </is>
      </c>
      <c r="G68" s="5" t="inlineStr">
        <is>
          <t>Flesh / disease (teluh)</t>
        </is>
      </c>
      <c r="H68" s="5" t="n">
        <v>5</v>
      </c>
      <c r="I68" s="5" t="inlineStr">
        <is>
          <t>Widow of Girah (12th-c. legend) whose black magic brought plague when her daughter was shunned.</t>
        </is>
      </c>
      <c r="J68" s="5" t="inlineStr">
        <is>
          <t>Human witch (widow). Coded features are in the trait matrix.</t>
        </is>
      </c>
      <c r="K68" s="5" t="inlineStr">
        <is>
          <t>Sends teluh pestilence; dances with corpses in graveyards.</t>
        </is>
      </c>
      <c r="L68" s="5" t="inlineStr">
        <is>
          <t>Defeated, in legend, by Mpu Bharadah's disciple stealing her magic book.</t>
        </is>
      </c>
      <c r="M68" s="5" t="inlineStr">
        <is>
          <t>Comparative expansion entry added in v3 from widely retold Indonesian / Southeast Asian folklore motifs; portrayals vary by region and medium.</t>
        </is>
      </c>
      <c r="N68" s="5" t="inlineStr">
        <is>
          <t>Ingroup</t>
        </is>
      </c>
      <c r="O68" s="5" t="inlineStr">
        <is>
          <t>No — incertae sedis / not yet sampled</t>
        </is>
      </c>
      <c r="P68" s="5" t="inlineStr">
        <is>
          <t>YES — new v3 entry, coded by folklore synthesis (not in source files)</t>
        </is>
      </c>
      <c r="Q68" s="5" t="n">
        <v>1</v>
      </c>
      <c r="R68" s="5" t="n">
        <v>2</v>
      </c>
      <c r="S68" s="5" t="n">
        <v>0</v>
      </c>
      <c r="T68" s="5" t="n">
        <v>1</v>
      </c>
      <c r="U68" s="5" t="n">
        <v>0</v>
      </c>
      <c r="V68" s="5" t="n">
        <v>0</v>
      </c>
      <c r="W68" s="5" t="n">
        <v>1</v>
      </c>
      <c r="X68" s="5" t="n">
        <v>0</v>
      </c>
      <c r="Y68" s="5" t="n">
        <v>0</v>
      </c>
      <c r="Z68" s="5" t="n">
        <v>0</v>
      </c>
      <c r="AA68" s="5" t="n">
        <v>0</v>
      </c>
      <c r="AB68" s="5" t="n">
        <v>1</v>
      </c>
      <c r="AC68" s="5" t="n">
        <v>0</v>
      </c>
      <c r="AD68" s="5" t="n">
        <v>0</v>
      </c>
      <c r="AE68" s="5" t="n">
        <v>0</v>
      </c>
      <c r="AF68" s="5" t="n">
        <v>1</v>
      </c>
      <c r="AG68" s="5" t="n">
        <v>1</v>
      </c>
      <c r="AH68" s="5" t="n">
        <v>1</v>
      </c>
    </row>
    <row r="69" ht="52" customHeight="1">
      <c r="A69" s="6" t="inlineStr">
        <is>
          <t>Kolor Ijo</t>
        </is>
      </c>
      <c r="B69" s="6" t="inlineStr">
        <is>
          <t>kolor_ijo_java_indonesia</t>
        </is>
      </c>
      <c r="C69" s="6" t="inlineStr">
        <is>
          <t>Java</t>
        </is>
      </c>
      <c r="D69" s="6" t="inlineStr">
        <is>
          <t>Javanese / urban legend</t>
        </is>
      </c>
      <c r="E69" s="6" t="inlineStr">
        <is>
          <t>Elemental / Demonic</t>
        </is>
      </c>
      <c r="F69" s="6" t="inlineStr">
        <is>
          <t>Green-clad humanoid demon</t>
        </is>
      </c>
      <c r="G69" s="6" t="inlineStr">
        <is>
          <t>Flesh (sexual predation motif)</t>
        </is>
      </c>
      <c r="H69" s="6" t="n">
        <v>5</v>
      </c>
      <c r="I69" s="6" t="inlineStr">
        <is>
          <t>Modern urban-legend predator demon in green underwear, reported in 2000s Java.</t>
        </is>
      </c>
      <c r="J69" s="6" t="inlineStr">
        <is>
          <t>Green-clad humanoid demon. Coded features are in the trait matrix.</t>
        </is>
      </c>
      <c r="K69" s="6" t="inlineStr">
        <is>
          <t>Attacks women at night; climbs into houses.</t>
        </is>
      </c>
      <c r="L69" s="6" t="inlineStr">
        <is>
          <t>Community patrols and prayers in popular accounts.</t>
        </is>
      </c>
      <c r="M69" s="6" t="inlineStr">
        <is>
          <t>Comparative expansion entry added in v3 from widely retold Indonesian / Southeast Asian folklore motifs; portrayals vary by region and medium.</t>
        </is>
      </c>
      <c r="N69" s="6" t="inlineStr">
        <is>
          <t>Ingroup</t>
        </is>
      </c>
      <c r="O69" s="6" t="inlineStr">
        <is>
          <t>No — incertae sedis / not yet sampled</t>
        </is>
      </c>
      <c r="P69" s="6" t="inlineStr">
        <is>
          <t>YES — new v3 entry, coded by folklore synthesis (not in source files)</t>
        </is>
      </c>
      <c r="Q69" s="6" t="n">
        <v>1</v>
      </c>
      <c r="R69" s="6" t="n">
        <v>2</v>
      </c>
      <c r="S69" s="6" t="n">
        <v>0</v>
      </c>
      <c r="T69" s="6" t="n">
        <v>1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1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1</v>
      </c>
      <c r="AG69" s="6" t="n">
        <v>0</v>
      </c>
      <c r="AH69" s="6" t="n">
        <v>1</v>
      </c>
    </row>
    <row r="70" ht="52" customHeight="1">
      <c r="A70" s="5" t="inlineStr">
        <is>
          <t>Pastur Kepala Buntung</t>
        </is>
      </c>
      <c r="B70" s="5" t="inlineStr">
        <is>
          <t>pastur_kepala_buntung_java</t>
        </is>
      </c>
      <c r="C70" s="5" t="inlineStr">
        <is>
          <t>Java (Jakarta)</t>
        </is>
      </c>
      <c r="D70" s="5" t="inlineStr">
        <is>
          <t>Multi-ethnic (colonial-era Jakarta)</t>
        </is>
      </c>
      <c r="E70" s="5" t="inlineStr">
        <is>
          <t>Undead / Revenant</t>
        </is>
      </c>
      <c r="F70" s="5" t="inlineStr">
        <is>
          <t>Headless shrouded corpse (priest)</t>
        </is>
      </c>
      <c r="G70" s="5" t="inlineStr">
        <is>
          <t>Non-consumptive</t>
        </is>
      </c>
      <c r="H70" s="5" t="n">
        <v>3</v>
      </c>
      <c r="I70" s="5" t="inlineStr">
        <is>
          <t>Headless Dutch-era priest said to haunt Jeruk Purut cemetery.</t>
        </is>
      </c>
      <c r="J70" s="5" t="inlineStr">
        <is>
          <t>Headless shrouded corpse (priest). Coded features are in the trait matrix.</t>
        </is>
      </c>
      <c r="K70" s="5" t="inlineStr">
        <is>
          <t>Wanders the cemetery at night carrying his head / seeking his grave.</t>
        </is>
      </c>
      <c r="L70" s="5" t="inlineStr">
        <is>
          <t>None specific; avoidance after dark.</t>
        </is>
      </c>
      <c r="M70" s="5" t="inlineStr">
        <is>
          <t>Comparative expansion entry added in v3 from widely retold Indonesian / Southeast Asian folklore motifs; portrayals vary by region and medium.</t>
        </is>
      </c>
      <c r="N70" s="5" t="inlineStr">
        <is>
          <t>Ingroup</t>
        </is>
      </c>
      <c r="O70" s="5" t="inlineStr">
        <is>
          <t>No — incertae sedis / not yet sampled</t>
        </is>
      </c>
      <c r="P70" s="5" t="inlineStr">
        <is>
          <t>YES — new v3 entry, coded by folklore synthesis (not in source files)</t>
        </is>
      </c>
      <c r="Q70" s="5" t="n">
        <v>1</v>
      </c>
      <c r="R70" s="5" t="n">
        <v>2</v>
      </c>
      <c r="S70" s="5" t="n">
        <v>1</v>
      </c>
      <c r="T70" s="5" t="n">
        <v>0</v>
      </c>
      <c r="U70" s="5" t="n">
        <v>1</v>
      </c>
      <c r="V70" s="5" t="n">
        <v>0</v>
      </c>
      <c r="W70" s="5" t="n">
        <v>0</v>
      </c>
      <c r="X70" s="5" t="n">
        <v>0</v>
      </c>
      <c r="Y70" s="5" t="n">
        <v>0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1</v>
      </c>
      <c r="AG70" s="5" t="n">
        <v>0</v>
      </c>
      <c r="AH70" s="5" t="n">
        <v>1</v>
      </c>
    </row>
    <row r="71" ht="52" customHeight="1">
      <c r="A71" s="6" t="inlineStr">
        <is>
          <t>Hantu Jeruk Purut</t>
        </is>
      </c>
      <c r="B71" s="6" t="inlineStr">
        <is>
          <t>hantu_jeruk_purut_java</t>
        </is>
      </c>
      <c r="C71" s="6" t="inlineStr">
        <is>
          <t>Java (Jakarta)</t>
        </is>
      </c>
      <c r="D71" s="6" t="inlineStr">
        <is>
          <t>Multi-ethnic (Jakarta)</t>
        </is>
      </c>
      <c r="E71" s="6" t="inlineStr">
        <is>
          <t>Undead / Revenant</t>
        </is>
      </c>
      <c r="F71" s="6" t="inlineStr">
        <is>
          <t>Spectral guardian with dog</t>
        </is>
      </c>
      <c r="G71" s="6" t="inlineStr">
        <is>
          <t>Non-consumptive</t>
        </is>
      </c>
      <c r="H71" s="6" t="n">
        <v>3</v>
      </c>
      <c r="I71" s="6" t="inlineStr">
        <is>
          <t>Cemetery haunting cluster at TPU Jeruk Purut, Jakarta.</t>
        </is>
      </c>
      <c r="J71" s="6" t="inlineStr">
        <is>
          <t>Spectral guardian with dog. Coded features are in the trait matrix.</t>
        </is>
      </c>
      <c r="K71" s="6" t="inlineStr">
        <is>
          <t>Night-time apparitions near old graves and banyan trees.</t>
        </is>
      </c>
      <c r="L71" s="6" t="inlineStr">
        <is>
          <t>Respectful conduct in the cemetery.</t>
        </is>
      </c>
      <c r="M71" s="6" t="inlineStr">
        <is>
          <t>Comparative expansion entry added in v3 from widely retold Indonesian / Southeast Asian folklore motifs; portrayals vary by region and medium.</t>
        </is>
      </c>
      <c r="N71" s="6" t="inlineStr">
        <is>
          <t>Ingroup</t>
        </is>
      </c>
      <c r="O71" s="6" t="inlineStr">
        <is>
          <t>No — incertae sedis / not yet sampled</t>
        </is>
      </c>
      <c r="P71" s="6" t="inlineStr">
        <is>
          <t>YES — new v3 entry, coded by folklore synthesis (not in source files)</t>
        </is>
      </c>
      <c r="Q71" s="6" t="n">
        <v>1</v>
      </c>
      <c r="R71" s="6" t="n">
        <v>2</v>
      </c>
      <c r="S71" s="6" t="n">
        <v>1</v>
      </c>
      <c r="T71" s="6" t="n">
        <v>0</v>
      </c>
      <c r="U71" s="6" t="n">
        <v>1</v>
      </c>
      <c r="V71" s="6" t="n">
        <v>0</v>
      </c>
      <c r="W71" s="6" t="n">
        <v>0</v>
      </c>
      <c r="X71" s="6" t="n">
        <v>1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1</v>
      </c>
      <c r="AE71" s="6" t="n">
        <v>0</v>
      </c>
      <c r="AF71" s="6" t="n">
        <v>1</v>
      </c>
      <c r="AG71" s="6" t="n">
        <v>0</v>
      </c>
      <c r="AH71" s="6" t="n">
        <v>1</v>
      </c>
    </row>
    <row r="72" ht="52" customHeight="1">
      <c r="A72" s="5" t="inlineStr">
        <is>
          <t>Kereta Hantu Manggarai</t>
        </is>
      </c>
      <c r="B72" s="5" t="inlineStr">
        <is>
          <t>kereta_hantu_manggarai_java</t>
        </is>
      </c>
      <c r="C72" s="5" t="inlineStr">
        <is>
          <t>Java (Jakarta)</t>
        </is>
      </c>
      <c r="D72" s="5" t="inlineStr">
        <is>
          <t>Multi-ethnic (Jakarta urban legend)</t>
        </is>
      </c>
      <c r="E72" s="5" t="inlineStr">
        <is>
          <t>Undead / Revenant</t>
        </is>
      </c>
      <c r="F72" s="5" t="inlineStr">
        <is>
          <t>Spectral train (object haunting)</t>
        </is>
      </c>
      <c r="G72" s="5" t="inlineStr">
        <is>
          <t>Non-consumptive</t>
        </is>
      </c>
      <c r="H72" s="5" t="n">
        <v>3</v>
      </c>
      <c r="I72" s="5" t="inlineStr">
        <is>
          <t>Ghost train said to run the Manggarai–Bogor line, linked to the 1987 Bintaro crash in popular memory.</t>
        </is>
      </c>
      <c r="J72" s="5" t="inlineStr">
        <is>
          <t>Spectral train (object haunting). Coded features are in the trait matrix.</t>
        </is>
      </c>
      <c r="K72" s="5" t="inlineStr">
        <is>
          <t>Appears as a driverless train on the tracks at night.</t>
        </is>
      </c>
      <c r="L72" s="5" t="inlineStr">
        <is>
          <t>None specific.</t>
        </is>
      </c>
      <c r="M72" s="5" t="inlineStr">
        <is>
          <t>Comparative expansion entry added in v3 from widely retold Indonesian / Southeast Asian folklore motifs; portrayals vary by region and medium.</t>
        </is>
      </c>
      <c r="N72" s="5" t="inlineStr">
        <is>
          <t>Ingroup</t>
        </is>
      </c>
      <c r="O72" s="5" t="inlineStr">
        <is>
          <t>No — incertae sedis / not yet sampled</t>
        </is>
      </c>
      <c r="P72" s="5" t="inlineStr">
        <is>
          <t>YES — new v3 entry, coded by folklore synthesis (not in source files)</t>
        </is>
      </c>
      <c r="Q72" s="5" t="n">
        <v>0</v>
      </c>
      <c r="R72" s="5" t="n">
        <v>2</v>
      </c>
      <c r="S72" s="5" t="n">
        <v>1</v>
      </c>
      <c r="T72" s="5" t="n">
        <v>0</v>
      </c>
      <c r="U72" s="5" t="n">
        <v>1</v>
      </c>
      <c r="V72" s="5" t="n">
        <v>0</v>
      </c>
      <c r="W72" s="5" t="n">
        <v>0</v>
      </c>
      <c r="X72" s="5" t="n">
        <v>0</v>
      </c>
      <c r="Y72" s="5" t="n">
        <v>0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1</v>
      </c>
    </row>
    <row r="73" ht="52" customHeight="1">
      <c r="A73" s="6" t="inlineStr">
        <is>
          <t>Hantu Ambulans Bandung</t>
        </is>
      </c>
      <c r="B73" s="6" t="inlineStr">
        <is>
          <t>hantu_ambulans_bandung_java</t>
        </is>
      </c>
      <c r="C73" s="6" t="inlineStr">
        <is>
          <t>Java (Bandung)</t>
        </is>
      </c>
      <c r="D73" s="6" t="inlineStr">
        <is>
          <t>Sundanese / urban legend</t>
        </is>
      </c>
      <c r="E73" s="6" t="inlineStr">
        <is>
          <t>Undead / Revenant</t>
        </is>
      </c>
      <c r="F73" s="6" t="inlineStr">
        <is>
          <t>Spectral ambulance (object haunting)</t>
        </is>
      </c>
      <c r="G73" s="6" t="inlineStr">
        <is>
          <t>Non-consumptive</t>
        </is>
      </c>
      <c r="H73" s="6" t="n">
        <v>2</v>
      </c>
      <c r="I73" s="6" t="inlineStr">
        <is>
          <t>Ambulance from a Dutch-era house on Jl. Bahureksa, Bandung, said to move and sound its siren by itself.</t>
        </is>
      </c>
      <c r="J73" s="6" t="inlineStr">
        <is>
          <t>Spectral ambulance (object haunting). Coded features are in the trait matrix.</t>
        </is>
      </c>
      <c r="K73" s="6" t="inlineStr">
        <is>
          <t>Siren heard at night; vehicle found moved.</t>
        </is>
      </c>
      <c r="L73" s="6" t="inlineStr">
        <is>
          <t>None specific; house is a local landmark tale.</t>
        </is>
      </c>
      <c r="M73" s="6" t="inlineStr">
        <is>
          <t>Comparative expansion entry added in v3 from widely retold Indonesian / Southeast Asian folklore motifs; portrayals vary by region and medium.</t>
        </is>
      </c>
      <c r="N73" s="6" t="inlineStr">
        <is>
          <t>Ingroup</t>
        </is>
      </c>
      <c r="O73" s="6" t="inlineStr">
        <is>
          <t>No — incertae sedis / not yet sampled</t>
        </is>
      </c>
      <c r="P73" s="6" t="inlineStr">
        <is>
          <t>YES — new v3 entry, coded by folklore synthesis (not in source files)</t>
        </is>
      </c>
      <c r="Q73" s="6" t="n">
        <v>0</v>
      </c>
      <c r="R73" s="6" t="n">
        <v>2</v>
      </c>
      <c r="S73" s="6" t="n">
        <v>1</v>
      </c>
      <c r="T73" s="6" t="n">
        <v>0</v>
      </c>
      <c r="U73" s="6" t="n">
        <v>1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  <c r="AF73" s="6" t="n">
        <v>0</v>
      </c>
      <c r="AG73" s="6" t="n">
        <v>0</v>
      </c>
      <c r="AH73" s="6" t="n">
        <v>1</v>
      </c>
    </row>
    <row r="74" ht="52" customHeight="1">
      <c r="A74" s="5" t="inlineStr">
        <is>
          <t>Mak Lampir</t>
        </is>
      </c>
      <c r="B74" s="5" t="inlineStr">
        <is>
          <t>mak_lampir_java_indonesia</t>
        </is>
      </c>
      <c r="C74" s="5" t="inlineStr">
        <is>
          <t>Java</t>
        </is>
      </c>
      <c r="D74" s="5" t="inlineStr">
        <is>
          <t>Javanese (television-popularised)</t>
        </is>
      </c>
      <c r="E74" s="5" t="inlineStr">
        <is>
          <t>Elemental / Demonic</t>
        </is>
      </c>
      <c r="F74" s="5" t="inlineStr">
        <is>
          <t>Human witch (elderly woman)</t>
        </is>
      </c>
      <c r="G74" s="5" t="inlineStr">
        <is>
          <t>Life force / soul</t>
        </is>
      </c>
      <c r="H74" s="5" t="n">
        <v>4</v>
      </c>
      <c r="I74" s="5" t="inlineStr">
        <is>
          <t>Witch-queen popularised nationally by the Misteri Gunung Merapi TV serial.</t>
        </is>
      </c>
      <c r="J74" s="5" t="inlineStr">
        <is>
          <t>Human witch (elderly woman). Coded features are in the trait matrix.</t>
        </is>
      </c>
      <c r="K74" s="5" t="inlineStr">
        <is>
          <t>Commands demons and seeks power / revenge from her mountain lair.</t>
        </is>
      </c>
      <c r="L74" s="5" t="inlineStr">
        <is>
          <t>Heroic counter-magic in the serial's lore.</t>
        </is>
      </c>
      <c r="M74" s="5" t="inlineStr">
        <is>
          <t>Comparative expansion entry added in v3 from widely retold Indonesian / Southeast Asian folklore motifs; portrayals vary by region and medium.</t>
        </is>
      </c>
      <c r="N74" s="5" t="inlineStr">
        <is>
          <t>Ingroup</t>
        </is>
      </c>
      <c r="O74" s="5" t="inlineStr">
        <is>
          <t>No — incertae sedis / not yet sampled</t>
        </is>
      </c>
      <c r="P74" s="5" t="inlineStr">
        <is>
          <t>YES — new v3 entry, coded by folklore synthesis (not in source files)</t>
        </is>
      </c>
      <c r="Q74" s="5" t="n">
        <v>1</v>
      </c>
      <c r="R74" s="5" t="n">
        <v>2</v>
      </c>
      <c r="S74" s="5" t="n">
        <v>0</v>
      </c>
      <c r="T74" s="5" t="n">
        <v>1</v>
      </c>
      <c r="U74" s="5" t="n">
        <v>0</v>
      </c>
      <c r="V74" s="5" t="n">
        <v>0</v>
      </c>
      <c r="W74" s="5" t="n">
        <v>1</v>
      </c>
      <c r="X74" s="5" t="n">
        <v>0</v>
      </c>
      <c r="Y74" s="5" t="n">
        <v>0</v>
      </c>
      <c r="Z74" s="5" t="n">
        <v>0</v>
      </c>
      <c r="AA74" s="5" t="n">
        <v>0</v>
      </c>
      <c r="AB74" s="5" t="n">
        <v>1</v>
      </c>
      <c r="AC74" s="5" t="n">
        <v>0</v>
      </c>
      <c r="AD74" s="5" t="n">
        <v>0</v>
      </c>
      <c r="AE74" s="5" t="n">
        <v>0</v>
      </c>
      <c r="AF74" s="5" t="n">
        <v>1</v>
      </c>
      <c r="AG74" s="5" t="n">
        <v>1</v>
      </c>
      <c r="AH74" s="5" t="n">
        <v>1</v>
      </c>
    </row>
    <row r="75" ht="52" customHeight="1">
      <c r="A75" s="6" t="inlineStr">
        <is>
          <t>Grandong</t>
        </is>
      </c>
      <c r="B75" s="6" t="inlineStr">
        <is>
          <t>grandong_java_indonesia</t>
        </is>
      </c>
      <c r="C75" s="6" t="inlineStr">
        <is>
          <t>Java</t>
        </is>
      </c>
      <c r="D75" s="6" t="inlineStr">
        <is>
          <t>Javanese</t>
        </is>
      </c>
      <c r="E75" s="6" t="inlineStr">
        <is>
          <t>Pesugihan / Wealth Demon</t>
        </is>
      </c>
      <c r="F75" s="6" t="inlineStr">
        <is>
          <t>Animal-like familiar (cat / dog-like)</t>
        </is>
      </c>
      <c r="G75" s="6" t="inlineStr">
        <is>
          <t>Blood</t>
        </is>
      </c>
      <c r="H75" s="6" t="n">
        <v>4</v>
      </c>
      <c r="I75" s="6" t="inlineStr">
        <is>
          <t>Wealth familiar kept for pesugihan; said to demand milk and blood offerings.</t>
        </is>
      </c>
      <c r="J75" s="6" t="inlineStr">
        <is>
          <t>Animal-like familiar (cat / dog-like). Coded features are in the trait matrix.</t>
        </is>
      </c>
      <c r="K75" s="6" t="inlineStr">
        <is>
          <t>Brings money to its keeper; sickens household members over time.</t>
        </is>
      </c>
      <c r="L75" s="6" t="inlineStr">
        <is>
          <t>Destroying the keeping ritual / religious counsel.</t>
        </is>
      </c>
      <c r="M75" s="6" t="inlineStr">
        <is>
          <t>Comparative expansion entry added in v3 from widely retold Indonesian / Southeast Asian folklore motifs; portrayals vary by region and medium.</t>
        </is>
      </c>
      <c r="N75" s="6" t="inlineStr">
        <is>
          <t>Ingroup</t>
        </is>
      </c>
      <c r="O75" s="6" t="inlineStr">
        <is>
          <t>No — incertae sedis / not yet sampled</t>
        </is>
      </c>
      <c r="P75" s="6" t="inlineStr">
        <is>
          <t>YES — new v3 entry, coded by folklore synthesis (not in source files)</t>
        </is>
      </c>
      <c r="Q75" s="6" t="n">
        <v>0</v>
      </c>
      <c r="R75" s="6" t="n">
        <v>2</v>
      </c>
      <c r="S75" s="6" t="n">
        <v>0</v>
      </c>
      <c r="T75" s="6" t="n">
        <v>1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1</v>
      </c>
      <c r="Z75" s="6" t="n">
        <v>1</v>
      </c>
      <c r="AA75" s="6" t="n">
        <v>0</v>
      </c>
      <c r="AB75" s="6" t="n">
        <v>0</v>
      </c>
      <c r="AC75" s="6" t="n">
        <v>1</v>
      </c>
      <c r="AD75" s="6" t="n">
        <v>0</v>
      </c>
      <c r="AE75" s="6" t="n">
        <v>0</v>
      </c>
      <c r="AF75" s="6" t="n">
        <v>0</v>
      </c>
      <c r="AG75" s="6" t="n">
        <v>1</v>
      </c>
      <c r="AH75" s="6" t="n">
        <v>1</v>
      </c>
    </row>
    <row r="76" ht="52" customHeight="1">
      <c r="A76" s="5" t="inlineStr">
        <is>
          <t>Pocong Merah</t>
        </is>
      </c>
      <c r="B76" s="5" t="inlineStr">
        <is>
          <t>pocong_merah_java_indonesia</t>
        </is>
      </c>
      <c r="C76" s="5" t="inlineStr">
        <is>
          <t>Java</t>
        </is>
      </c>
      <c r="D76" s="5" t="inlineStr">
        <is>
          <t>Javanese / urban legend</t>
        </is>
      </c>
      <c r="E76" s="5" t="inlineStr">
        <is>
          <t>Undead / Revenant</t>
        </is>
      </c>
      <c r="F76" s="5" t="inlineStr">
        <is>
          <t>Shrouded corpse (red shroud)</t>
        </is>
      </c>
      <c r="G76" s="5" t="inlineStr">
        <is>
          <t>Non-consumptive</t>
        </is>
      </c>
      <c r="H76" s="5" t="n">
        <v>4</v>
      </c>
      <c r="I76" s="5" t="inlineStr">
        <is>
          <t>Aggressive red-shrouded pocong variant in contemporary urban legend.</t>
        </is>
      </c>
      <c r="J76" s="5" t="inlineStr">
        <is>
          <t>Shrouded corpse (red shroud). Coded features are in the trait matrix.</t>
        </is>
      </c>
      <c r="K76" s="5" t="inlineStr">
        <is>
          <t>Hops and chases; associated with violent death.</t>
        </is>
      </c>
      <c r="L76" s="5" t="inlineStr">
        <is>
          <t>Untying the shroud knot; prayers.</t>
        </is>
      </c>
      <c r="M76" s="5" t="inlineStr">
        <is>
          <t>Comparative expansion entry added in v3 from widely retold Indonesian / Southeast Asian folklore motifs; portrayals vary by region and medium.</t>
        </is>
      </c>
      <c r="N76" s="5" t="inlineStr">
        <is>
          <t>Ingroup</t>
        </is>
      </c>
      <c r="O76" s="5" t="inlineStr">
        <is>
          <t>No — incertae sedis / not yet sampled</t>
        </is>
      </c>
      <c r="P76" s="5" t="inlineStr">
        <is>
          <t>YES — new v3 entry, coded by folklore synthesis (not in source files)</t>
        </is>
      </c>
      <c r="Q76" s="5" t="n">
        <v>1</v>
      </c>
      <c r="R76" s="5" t="n">
        <v>2</v>
      </c>
      <c r="S76" s="5" t="n">
        <v>1</v>
      </c>
      <c r="T76" s="5" t="n">
        <v>1</v>
      </c>
      <c r="U76" s="5" t="n">
        <v>1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1</v>
      </c>
      <c r="AG76" s="5" t="n">
        <v>0</v>
      </c>
      <c r="AH76" s="5" t="n">
        <v>1</v>
      </c>
    </row>
    <row r="77" ht="52" customHeight="1">
      <c r="A77" s="6" t="inlineStr">
        <is>
          <t>Orang Bunian</t>
        </is>
      </c>
      <c r="B77" s="6" t="inlineStr">
        <is>
          <t>orang_bunian_sumatra_kalimantan</t>
        </is>
      </c>
      <c r="C77" s="6" t="inlineStr">
        <is>
          <t>Sumatra / Kalimantan</t>
        </is>
      </c>
      <c r="D77" s="6" t="inlineStr">
        <is>
          <t>Malay / Minangkabau</t>
        </is>
      </c>
      <c r="E77" s="6" t="inlineStr">
        <is>
          <t>Nature / Ancestral Spirit</t>
        </is>
      </c>
      <c r="F77" s="6" t="inlineStr">
        <is>
          <t>Human-like hidden people</t>
        </is>
      </c>
      <c r="G77" s="6" t="inlineStr">
        <is>
          <t>Non-consumptive (offerings)</t>
        </is>
      </c>
      <c r="H77" s="6" t="n">
        <v>2</v>
      </c>
      <c r="I77" s="6" t="inlineStr">
        <is>
          <t>Hidden people living in forests and empty houses in Malay lore; weddings heard but unseen.</t>
        </is>
      </c>
      <c r="J77" s="6" t="inlineStr">
        <is>
          <t>Human-like hidden people. Coded features are in the trait matrix.</t>
        </is>
      </c>
      <c r="K77" s="6" t="inlineStr">
        <is>
          <t>Music and cooking smells from empty places; people who follow them may vanish in time.</t>
        </is>
      </c>
      <c r="L77" s="6" t="inlineStr">
        <is>
          <t>Prayers; iron in some tellings.</t>
        </is>
      </c>
      <c r="M77" s="6" t="inlineStr">
        <is>
          <t>Comparative expansion entry added in v3 from widely retold Indonesian / Southeast Asian folklore motifs; portrayals vary by region and medium.</t>
        </is>
      </c>
      <c r="N77" s="6" t="inlineStr">
        <is>
          <t>Ingroup</t>
        </is>
      </c>
      <c r="O77" s="6" t="inlineStr">
        <is>
          <t>No — incertae sedis / not yet sampled</t>
        </is>
      </c>
      <c r="P77" s="6" t="inlineStr">
        <is>
          <t>YES — new v3 entry, coded by folklore synthesis (not in source files)</t>
        </is>
      </c>
      <c r="Q77" s="6" t="n">
        <v>1</v>
      </c>
      <c r="R77" s="6" t="n">
        <v>2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1</v>
      </c>
      <c r="AE77" s="6" t="n">
        <v>0</v>
      </c>
      <c r="AF77" s="6" t="n">
        <v>1</v>
      </c>
      <c r="AG77" s="6" t="n">
        <v>0</v>
      </c>
      <c r="AH77" s="6" t="n">
        <v>0</v>
      </c>
    </row>
    <row r="78" ht="52" customHeight="1">
      <c r="A78" s="5" t="inlineStr">
        <is>
          <t>Hantu Galah</t>
        </is>
      </c>
      <c r="B78" s="5" t="inlineStr">
        <is>
          <t>hantu_galah_sumatra_indonesia</t>
        </is>
      </c>
      <c r="C78" s="5" t="inlineStr">
        <is>
          <t>Sumatra</t>
        </is>
      </c>
      <c r="D78" s="5" t="inlineStr">
        <is>
          <t>Malay (Sumatra)</t>
        </is>
      </c>
      <c r="E78" s="5" t="inlineStr">
        <is>
          <t>Elemental / Demonic</t>
        </is>
      </c>
      <c r="F78" s="5" t="inlineStr">
        <is>
          <t>Elongated / stretching humanoid</t>
        </is>
      </c>
      <c r="G78" s="5" t="inlineStr">
        <is>
          <t>Life force / soul</t>
        </is>
      </c>
      <c r="H78" s="5" t="n">
        <v>4</v>
      </c>
      <c r="I78" s="5" t="inlineStr">
        <is>
          <t>Tall pole-ghost of Malay lore whose legs span roads and rivers.</t>
        </is>
      </c>
      <c r="J78" s="5" t="inlineStr">
        <is>
          <t>Elongated / stretching humanoid. Coded features are in the trait matrix.</t>
        </is>
      </c>
      <c r="K78" s="5" t="inlineStr">
        <is>
          <t>Straddles paths; grows taller the more it is watched (cf. Begu Ganjang).</t>
        </is>
      </c>
      <c r="L78" s="5" t="inlineStr">
        <is>
          <t>Do not look up; prayers.</t>
        </is>
      </c>
      <c r="M78" s="5" t="inlineStr">
        <is>
          <t>Comparative expansion entry added in v3 from widely retold Indonesian / Southeast Asian folklore motifs; portrayals vary by region and medium.</t>
        </is>
      </c>
      <c r="N78" s="5" t="inlineStr">
        <is>
          <t>Ingroup</t>
        </is>
      </c>
      <c r="O78" s="5" t="inlineStr">
        <is>
          <t>No — incertae sedis / not yet sampled</t>
        </is>
      </c>
      <c r="P78" s="5" t="inlineStr">
        <is>
          <t>YES — new v3 entry, coded by folklore synthesis (not in source files)</t>
        </is>
      </c>
      <c r="Q78" s="5" t="n">
        <v>1</v>
      </c>
      <c r="R78" s="5" t="n">
        <v>2</v>
      </c>
      <c r="S78" s="5" t="n">
        <v>0</v>
      </c>
      <c r="T78" s="5" t="n">
        <v>1</v>
      </c>
      <c r="U78" s="5" t="n">
        <v>0</v>
      </c>
      <c r="V78" s="5" t="n">
        <v>0</v>
      </c>
      <c r="W78" s="5" t="n">
        <v>0</v>
      </c>
      <c r="X78" s="5" t="n">
        <v>0</v>
      </c>
      <c r="Y78" s="5" t="n">
        <v>0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1</v>
      </c>
      <c r="AE78" s="5" t="n">
        <v>0</v>
      </c>
      <c r="AF78" s="5" t="n">
        <v>0</v>
      </c>
      <c r="AG78" s="5" t="n">
        <v>0</v>
      </c>
      <c r="AH78" s="5" t="n">
        <v>1</v>
      </c>
    </row>
    <row r="79" ht="52" customHeight="1">
      <c r="A79" s="6" t="inlineStr">
        <is>
          <t>Hantu Tinggi</t>
        </is>
      </c>
      <c r="B79" s="6" t="inlineStr">
        <is>
          <t>hantu_tinggi_malaysia_sumatra</t>
        </is>
      </c>
      <c r="C79" s="6" t="inlineStr">
        <is>
          <t>Sumatra / Malay world</t>
        </is>
      </c>
      <c r="D79" s="6" t="inlineStr">
        <is>
          <t>Malay</t>
        </is>
      </c>
      <c r="E79" s="6" t="inlineStr">
        <is>
          <t>Elemental / Demonic</t>
        </is>
      </c>
      <c r="F79" s="6" t="inlineStr">
        <is>
          <t>Gigantic humanoid</t>
        </is>
      </c>
      <c r="G79" s="6" t="inlineStr">
        <is>
          <t>Flesh</t>
        </is>
      </c>
      <c r="H79" s="6" t="n">
        <v>4</v>
      </c>
      <c r="I79" s="6" t="inlineStr">
        <is>
          <t>Giant tall ghost of Malay forest lore.</t>
        </is>
      </c>
      <c r="J79" s="6" t="inlineStr">
        <is>
          <t>Gigantic humanoid. Coded features are in the trait matrix.</t>
        </is>
      </c>
      <c r="K79" s="6" t="inlineStr">
        <is>
          <t>Seen towering over trees at forest edges.</t>
        </is>
      </c>
      <c r="L79" s="6" t="inlineStr">
        <is>
          <t>Prayers; avoidance of forest at dusk.</t>
        </is>
      </c>
      <c r="M79" s="6" t="inlineStr">
        <is>
          <t>Comparative expansion entry added in v3 from widely retold Indonesian / Southeast Asian folklore motifs; portrayals vary by region and medium.</t>
        </is>
      </c>
      <c r="N79" s="6" t="inlineStr">
        <is>
          <t>Ingroup</t>
        </is>
      </c>
      <c r="O79" s="6" t="inlineStr">
        <is>
          <t>No — incertae sedis / not yet sampled</t>
        </is>
      </c>
      <c r="P79" s="6" t="inlineStr">
        <is>
          <t>YES — new v3 entry, coded by folklore synthesis (not in source files)</t>
        </is>
      </c>
      <c r="Q79" s="6" t="n">
        <v>1</v>
      </c>
      <c r="R79" s="6" t="n">
        <v>2</v>
      </c>
      <c r="S79" s="6" t="n">
        <v>0</v>
      </c>
      <c r="T79" s="6" t="n">
        <v>1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1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1</v>
      </c>
      <c r="AE79" s="6" t="n">
        <v>0</v>
      </c>
      <c r="AF79" s="6" t="n">
        <v>0</v>
      </c>
      <c r="AG79" s="6" t="n">
        <v>0</v>
      </c>
      <c r="AH79" s="6" t="n">
        <v>1</v>
      </c>
    </row>
    <row r="80" ht="52" customHeight="1">
      <c r="A80" s="5" t="inlineStr">
        <is>
          <t>Hantu Kopek</t>
        </is>
      </c>
      <c r="B80" s="5" t="inlineStr">
        <is>
          <t>hantu_kopek_java_indonesia</t>
        </is>
      </c>
      <c r="C80" s="5" t="inlineStr">
        <is>
          <t>Java</t>
        </is>
      </c>
      <c r="D80" s="5" t="inlineStr">
        <is>
          <t>Javanese / Malay urban legend</t>
        </is>
      </c>
      <c r="E80" s="5" t="inlineStr">
        <is>
          <t>Vengeful Female</t>
        </is>
      </c>
      <c r="F80" s="5" t="inlineStr">
        <is>
          <t>Spectral female</t>
        </is>
      </c>
      <c r="G80" s="5" t="inlineStr">
        <is>
          <t>Non-consumptive</t>
        </is>
      </c>
      <c r="H80" s="5" t="n">
        <v>3</v>
      </c>
      <c r="I80" s="5" t="inlineStr">
        <is>
          <t>Female apparition in roadside urban legend, named for its exposed form.</t>
        </is>
      </c>
      <c r="J80" s="5" t="inlineStr">
        <is>
          <t>Spectral female. Coded features are in the trait matrix.</t>
        </is>
      </c>
      <c r="K80" s="5" t="inlineStr">
        <is>
          <t>Appears to lone male travellers at night, then vanishes.</t>
        </is>
      </c>
      <c r="L80" s="5" t="inlineStr">
        <is>
          <t>Prayers; not stopping.</t>
        </is>
      </c>
      <c r="M80" s="5" t="inlineStr">
        <is>
          <t>Comparative expansion entry added in v3 from widely retold Indonesian / Southeast Asian folklore motifs; portrayals vary by region and medium.</t>
        </is>
      </c>
      <c r="N80" s="5" t="inlineStr">
        <is>
          <t>Ingroup</t>
        </is>
      </c>
      <c r="O80" s="5" t="inlineStr">
        <is>
          <t>No — incertae sedis / not yet sampled</t>
        </is>
      </c>
      <c r="P80" s="5" t="inlineStr">
        <is>
          <t>YES — new v3 entry, coded by folklore synthesis (not in source files)</t>
        </is>
      </c>
      <c r="Q80" s="5" t="n">
        <v>1</v>
      </c>
      <c r="R80" s="5" t="n">
        <v>1</v>
      </c>
      <c r="S80" s="5" t="n">
        <v>1</v>
      </c>
      <c r="T80" s="5" t="n">
        <v>0</v>
      </c>
      <c r="U80" s="5" t="n">
        <v>1</v>
      </c>
      <c r="V80" s="5" t="n">
        <v>0</v>
      </c>
      <c r="W80" s="5" t="n">
        <v>0</v>
      </c>
      <c r="X80" s="5" t="n">
        <v>0</v>
      </c>
      <c r="Y80" s="5" t="n">
        <v>0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1</v>
      </c>
      <c r="AG80" s="5" t="n">
        <v>0</v>
      </c>
      <c r="AH80" s="5" t="n">
        <v>1</v>
      </c>
    </row>
    <row r="81" ht="52" customHeight="1">
      <c r="A81" s="6" t="inlineStr">
        <is>
          <t>Hantu Rimba</t>
        </is>
      </c>
      <c r="B81" s="6" t="inlineStr">
        <is>
          <t>hantu_rimba_indonesian_archipelago</t>
        </is>
      </c>
      <c r="C81" s="6" t="inlineStr">
        <is>
          <t>Indonesian Archipelago (widespread)</t>
        </is>
      </c>
      <c r="D81" s="6" t="inlineStr">
        <is>
          <t>Multi-ethnic (forest communities)</t>
        </is>
      </c>
      <c r="E81" s="6" t="inlineStr">
        <is>
          <t>Nature / Ancestral Spirit</t>
        </is>
      </c>
      <c r="F81" s="6" t="inlineStr">
        <is>
          <t>Humanoid forest guardian</t>
        </is>
      </c>
      <c r="G81" s="6" t="inlineStr">
        <is>
          <t>Non-consumptive</t>
        </is>
      </c>
      <c r="H81" s="6" t="n">
        <v>3</v>
      </c>
      <c r="I81" s="6" t="inlineStr">
        <is>
          <t>Generic forest spirit / keeper of the rimba in Malay-Indonesian usage.</t>
        </is>
      </c>
      <c r="J81" s="6" t="inlineStr">
        <is>
          <t>Humanoid forest guardian. Coded features are in the trait matrix.</t>
        </is>
      </c>
      <c r="K81" s="6" t="inlineStr">
        <is>
          <t>Punishes disrespect to the forest; misleads intruders.</t>
        </is>
      </c>
      <c r="L81" s="6" t="inlineStr">
        <is>
          <t>Permission rituals and offerings before entering forest.</t>
        </is>
      </c>
      <c r="M81" s="6" t="inlineStr">
        <is>
          <t>Comparative expansion entry added in v3 from widely retold Indonesian / Southeast Asian folklore motifs; portrayals vary by region and medium.</t>
        </is>
      </c>
      <c r="N81" s="6" t="inlineStr">
        <is>
          <t>Ingroup</t>
        </is>
      </c>
      <c r="O81" s="6" t="inlineStr">
        <is>
          <t>No — incertae sedis / not yet sampled</t>
        </is>
      </c>
      <c r="P81" s="6" t="inlineStr">
        <is>
          <t>YES — new v3 entry, coded by folklore synthesis (not in source files)</t>
        </is>
      </c>
      <c r="Q81" s="6" t="n">
        <v>1</v>
      </c>
      <c r="R81" s="6" t="n">
        <v>2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1</v>
      </c>
      <c r="AE81" s="6" t="n">
        <v>0</v>
      </c>
      <c r="AF81" s="6" t="n">
        <v>1</v>
      </c>
      <c r="AG81" s="6" t="n">
        <v>0</v>
      </c>
      <c r="AH81" s="6" t="n">
        <v>0</v>
      </c>
    </row>
    <row r="82" ht="52" customHeight="1">
      <c r="A82" s="5" t="inlineStr">
        <is>
          <t>Mambang</t>
        </is>
      </c>
      <c r="B82" s="5" t="inlineStr">
        <is>
          <t>mambang_malay_archipelago</t>
        </is>
      </c>
      <c r="C82" s="5" t="inlineStr">
        <is>
          <t>Sumatra / Malay world</t>
        </is>
      </c>
      <c r="D82" s="5" t="inlineStr">
        <is>
          <t>Malay</t>
        </is>
      </c>
      <c r="E82" s="5" t="inlineStr">
        <is>
          <t>Nature / Ancestral Spirit</t>
        </is>
      </c>
      <c r="F82" s="5" t="inlineStr">
        <is>
          <t>Elemental spirit (sun / sea / earth)</t>
        </is>
      </c>
      <c r="G82" s="5" t="inlineStr">
        <is>
          <t>Non-consumptive</t>
        </is>
      </c>
      <c r="H82" s="5" t="n">
        <v>2</v>
      </c>
      <c r="I82" s="5" t="inlineStr">
        <is>
          <t>Class of Malay elemental spirits (e.g., Mambang Kuning of the sunset).</t>
        </is>
      </c>
      <c r="J82" s="5" t="inlineStr">
        <is>
          <t>Elemental spirit (sun / sea / earth). Coded features are in the trait matrix.</t>
        </is>
      </c>
      <c r="K82" s="5" t="inlineStr">
        <is>
          <t>Inhabits natural phenomena; invoked in traditional healing.</t>
        </is>
      </c>
      <c r="L82" s="5" t="inlineStr">
        <is>
          <t>Ritual specialist (pawang) mediation.</t>
        </is>
      </c>
      <c r="M82" s="5" t="inlineStr">
        <is>
          <t>Comparative expansion entry added in v3 from widely retold Indonesian / Southeast Asian folklore motifs; portrayals vary by region and medium.</t>
        </is>
      </c>
      <c r="N82" s="5" t="inlineStr">
        <is>
          <t>Ingroup</t>
        </is>
      </c>
      <c r="O82" s="5" t="inlineStr">
        <is>
          <t>No — incertae sedis / not yet sampled</t>
        </is>
      </c>
      <c r="P82" s="5" t="inlineStr">
        <is>
          <t>YES — new v3 entry, coded by folklore synthesis (not in source files)</t>
        </is>
      </c>
      <c r="Q82" s="5" t="n">
        <v>0</v>
      </c>
      <c r="R82" s="5" t="n">
        <v>2</v>
      </c>
      <c r="S82" s="5" t="n">
        <v>0</v>
      </c>
      <c r="T82" s="5" t="n">
        <v>0</v>
      </c>
      <c r="U82" s="5" t="n">
        <v>0</v>
      </c>
      <c r="V82" s="5" t="n">
        <v>0</v>
      </c>
      <c r="W82" s="5" t="n">
        <v>0</v>
      </c>
      <c r="X82" s="5" t="n">
        <v>0</v>
      </c>
      <c r="Y82" s="5" t="n">
        <v>0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1</v>
      </c>
      <c r="AE82" s="5" t="n">
        <v>1</v>
      </c>
      <c r="AF82" s="5" t="n">
        <v>1</v>
      </c>
      <c r="AG82" s="5" t="n">
        <v>0</v>
      </c>
      <c r="AH82" s="5" t="n">
        <v>0</v>
      </c>
    </row>
    <row r="83" ht="52" customHeight="1">
      <c r="A83" s="6" t="inlineStr">
        <is>
          <t>Putri Tangguk</t>
        </is>
      </c>
      <c r="B83" s="6" t="inlineStr">
        <is>
          <t>putri_tangguk_sumatra_indonesia</t>
        </is>
      </c>
      <c r="C83" s="6" t="inlineStr">
        <is>
          <t>Sumatra</t>
        </is>
      </c>
      <c r="D83" s="6" t="inlineStr">
        <is>
          <t>Malay / Jambi</t>
        </is>
      </c>
      <c r="E83" s="6" t="inlineStr">
        <is>
          <t>Vengeful Female</t>
        </is>
      </c>
      <c r="F83" s="6" t="inlineStr">
        <is>
          <t>Spectral female</t>
        </is>
      </c>
      <c r="G83" s="6" t="inlineStr">
        <is>
          <t>Non-consumptive</t>
        </is>
      </c>
      <c r="H83" s="6" t="n">
        <v>3</v>
      </c>
      <c r="I83" s="6" t="inlineStr">
        <is>
          <t>Woman in Jambi legend who neglected her rice / children and was cursed.</t>
        </is>
      </c>
      <c r="J83" s="6" t="inlineStr">
        <is>
          <t>Spectral female. Coded features are in the trait matrix.</t>
        </is>
      </c>
      <c r="K83" s="6" t="inlineStr">
        <is>
          <t>Appears near rice fields combing long hair; weeping.</t>
        </is>
      </c>
      <c r="L83" s="6" t="inlineStr">
        <is>
          <t>Moral tale deterrent; prayers.</t>
        </is>
      </c>
      <c r="M83" s="6" t="inlineStr">
        <is>
          <t>Comparative expansion entry added in v3 from widely retold Indonesian / Southeast Asian folklore motifs; portrayals vary by region and medium.</t>
        </is>
      </c>
      <c r="N83" s="6" t="inlineStr">
        <is>
          <t>Ingroup</t>
        </is>
      </c>
      <c r="O83" s="6" t="inlineStr">
        <is>
          <t>No — incertae sedis / not yet sampled</t>
        </is>
      </c>
      <c r="P83" s="6" t="inlineStr">
        <is>
          <t>YES — new v3 entry, coded by folklore synthesis (not in source files)</t>
        </is>
      </c>
      <c r="Q83" s="6" t="n">
        <v>1</v>
      </c>
      <c r="R83" s="6" t="n">
        <v>1</v>
      </c>
      <c r="S83" s="6" t="n">
        <v>1</v>
      </c>
      <c r="T83" s="6" t="n">
        <v>0</v>
      </c>
      <c r="U83" s="6" t="n">
        <v>1</v>
      </c>
      <c r="V83" s="6" t="n">
        <v>0</v>
      </c>
      <c r="W83" s="6" t="n">
        <v>0</v>
      </c>
      <c r="X83" s="6" t="n">
        <v>1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1</v>
      </c>
      <c r="AG83" s="6" t="n">
        <v>0</v>
      </c>
      <c r="AH83" s="6" t="n">
        <v>1</v>
      </c>
    </row>
    <row r="84" ht="52" customHeight="1">
      <c r="A84" s="5" t="inlineStr">
        <is>
          <t>Mariaban</t>
        </is>
      </c>
      <c r="B84" s="5" t="inlineStr">
        <is>
          <t>mariaban_kalimantan_indonesia</t>
        </is>
      </c>
      <c r="C84" s="5" t="inlineStr">
        <is>
          <t>Kalimantan</t>
        </is>
      </c>
      <c r="D84" s="5" t="inlineStr">
        <is>
          <t>Dayak / Banjar</t>
        </is>
      </c>
      <c r="E84" s="5" t="inlineStr">
        <is>
          <t>Hominid Cryptid</t>
        </is>
      </c>
      <c r="F84" s="5" t="inlineStr">
        <is>
          <t>Bipedal primate / ape-like, red-haired</t>
        </is>
      </c>
      <c r="G84" s="5" t="inlineStr">
        <is>
          <t>Flesh / blood</t>
        </is>
      </c>
      <c r="H84" s="5" t="n">
        <v>4</v>
      </c>
      <c r="I84" s="5" t="inlineStr">
        <is>
          <t>Giant red-haired forest being of Kalimantan river lore.</t>
        </is>
      </c>
      <c r="J84" s="5" t="inlineStr">
        <is>
          <t>Bipedal primate / ape-like, red-haired. Coded features are in the trait matrix.</t>
        </is>
      </c>
      <c r="K84" s="5" t="inlineStr">
        <is>
          <t>Hunts along rivers; immensely strong.</t>
        </is>
      </c>
      <c r="L84" s="5" t="inlineStr">
        <is>
          <t>Avoidance; firearms ineffective in tales.</t>
        </is>
      </c>
      <c r="M84" s="5" t="inlineStr">
        <is>
          <t>Comparative expansion entry added in v3 from widely retold Indonesian / Southeast Asian folklore motifs; portrayals vary by region and medium.</t>
        </is>
      </c>
      <c r="N84" s="5" t="inlineStr">
        <is>
          <t>Ingroup</t>
        </is>
      </c>
      <c r="O84" s="5" t="inlineStr">
        <is>
          <t>No — incertae sedis / not yet sampled</t>
        </is>
      </c>
      <c r="P84" s="5" t="inlineStr">
        <is>
          <t>YES — new v3 entry, coded by folklore synthesis (not in source files)</t>
        </is>
      </c>
      <c r="Q84" s="5" t="n">
        <v>1</v>
      </c>
      <c r="R84" s="5" t="n">
        <v>2</v>
      </c>
      <c r="S84" s="5" t="n">
        <v>0</v>
      </c>
      <c r="T84" s="5" t="n">
        <v>1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1</v>
      </c>
      <c r="Z84" s="5" t="n">
        <v>1</v>
      </c>
      <c r="AA84" s="5" t="n">
        <v>0</v>
      </c>
      <c r="AB84" s="5" t="n">
        <v>0</v>
      </c>
      <c r="AC84" s="5" t="n">
        <v>0</v>
      </c>
      <c r="AD84" s="5" t="n">
        <v>1</v>
      </c>
      <c r="AE84" s="5" t="n">
        <v>0</v>
      </c>
      <c r="AF84" s="5" t="n">
        <v>0</v>
      </c>
      <c r="AG84" s="5" t="n">
        <v>0</v>
      </c>
      <c r="AH84" s="5" t="n">
        <v>0</v>
      </c>
    </row>
    <row r="85" ht="52" customHeight="1">
      <c r="A85" s="6" t="inlineStr">
        <is>
          <t>Hantu Banyu</t>
        </is>
      </c>
      <c r="B85" s="6" t="inlineStr">
        <is>
          <t>hantu_banyu_kalimantan_indonesia</t>
        </is>
      </c>
      <c r="C85" s="6" t="inlineStr">
        <is>
          <t>Kalimantan</t>
        </is>
      </c>
      <c r="D85" s="6" t="inlineStr">
        <is>
          <t>Banjar / Malay (South Kalimantan)</t>
        </is>
      </c>
      <c r="E85" s="6" t="inlineStr">
        <is>
          <t>Elemental / Demonic</t>
        </is>
      </c>
      <c r="F85" s="6" t="inlineStr">
        <is>
          <t>Aquatic humanoid</t>
        </is>
      </c>
      <c r="G85" s="6" t="inlineStr">
        <is>
          <t>Flesh (drowning)</t>
        </is>
      </c>
      <c r="H85" s="6" t="n">
        <v>4</v>
      </c>
      <c r="I85" s="6" t="inlineStr">
        <is>
          <t>Water ghost of Banjar rivers (banyu = water).</t>
        </is>
      </c>
      <c r="J85" s="6" t="inlineStr">
        <is>
          <t>Aquatic humanoid. Coded features are in the trait matrix.</t>
        </is>
      </c>
      <c r="K85" s="6" t="inlineStr">
        <is>
          <t>Pulls swimmers and bathers under at dusk.</t>
        </is>
      </c>
      <c r="L85" s="6" t="inlineStr">
        <is>
          <t>Prayers before bathing; avoid rivers at maghrib.</t>
        </is>
      </c>
      <c r="M85" s="6" t="inlineStr">
        <is>
          <t>Comparative expansion entry added in v3 from widely retold Indonesian / Southeast Asian folklore motifs; portrayals vary by region and medium.</t>
        </is>
      </c>
      <c r="N85" s="6" t="inlineStr">
        <is>
          <t>Ingroup</t>
        </is>
      </c>
      <c r="O85" s="6" t="inlineStr">
        <is>
          <t>No — incertae sedis / not yet sampled</t>
        </is>
      </c>
      <c r="P85" s="6" t="inlineStr">
        <is>
          <t>YES — new v3 entry, coded by folklore synthesis (not in source files)</t>
        </is>
      </c>
      <c r="Q85" s="6" t="n">
        <v>1</v>
      </c>
      <c r="R85" s="6" t="n">
        <v>2</v>
      </c>
      <c r="S85" s="6" t="n">
        <v>0</v>
      </c>
      <c r="T85" s="6" t="n">
        <v>1</v>
      </c>
      <c r="U85" s="6" t="n">
        <v>0</v>
      </c>
      <c r="V85" s="6" t="n">
        <v>0</v>
      </c>
      <c r="W85" s="6" t="n">
        <v>0</v>
      </c>
      <c r="X85" s="6" t="n">
        <v>0</v>
      </c>
      <c r="Y85" s="6" t="n">
        <v>1</v>
      </c>
      <c r="Z85" s="6" t="n">
        <v>0</v>
      </c>
      <c r="AA85" s="6" t="n">
        <v>0</v>
      </c>
      <c r="AB85" s="6" t="n">
        <v>0</v>
      </c>
      <c r="AC85" s="6" t="n">
        <v>1</v>
      </c>
      <c r="AD85" s="6" t="n">
        <v>0</v>
      </c>
      <c r="AE85" s="6" t="n">
        <v>0</v>
      </c>
      <c r="AF85" s="6" t="n">
        <v>1</v>
      </c>
      <c r="AG85" s="6" t="n">
        <v>0</v>
      </c>
      <c r="AH85" s="6" t="n">
        <v>1</v>
      </c>
    </row>
    <row r="86" ht="52" customHeight="1">
      <c r="A86" s="5" t="inlineStr">
        <is>
          <t>Anak Sima</t>
        </is>
      </c>
      <c r="B86" s="5" t="inlineStr">
        <is>
          <t>anak_sima_kalimantan_indonesia</t>
        </is>
      </c>
      <c r="C86" s="5" t="inlineStr">
        <is>
          <t>Kalimantan</t>
        </is>
      </c>
      <c r="D86" s="5" t="inlineStr">
        <is>
          <t>Dayak / Banjar</t>
        </is>
      </c>
      <c r="E86" s="5" t="inlineStr">
        <is>
          <t>Pesugihan / Wealth Demon</t>
        </is>
      </c>
      <c r="F86" s="5" t="inlineStr">
        <is>
          <t>Child-like familiar</t>
        </is>
      </c>
      <c r="G86" s="5" t="inlineStr">
        <is>
          <t>Blood</t>
        </is>
      </c>
      <c r="H86" s="5" t="n">
        <v>4</v>
      </c>
      <c r="I86" s="5" t="inlineStr">
        <is>
          <t>Child familiar kept for wealth / power in Kalimantan black-magic lore.</t>
        </is>
      </c>
      <c r="J86" s="5" t="inlineStr">
        <is>
          <t>Child-like familiar. Coded features are in the trait matrix.</t>
        </is>
      </c>
      <c r="K86" s="5" t="inlineStr">
        <is>
          <t>Kept and fed by its keeper; brings luck at a price.</t>
        </is>
      </c>
      <c r="L86" s="5" t="inlineStr">
        <is>
          <t>Religious counsel; destroying the keeping objects.</t>
        </is>
      </c>
      <c r="M86" s="5" t="inlineStr">
        <is>
          <t>Comparative expansion entry added in v3 from widely retold Indonesian / Southeast Asian folklore motifs; portrayals vary by region and medium.</t>
        </is>
      </c>
      <c r="N86" s="5" t="inlineStr">
        <is>
          <t>Ingroup</t>
        </is>
      </c>
      <c r="O86" s="5" t="inlineStr">
        <is>
          <t>No — incertae sedis / not yet sampled</t>
        </is>
      </c>
      <c r="P86" s="5" t="inlineStr">
        <is>
          <t>YES — new v3 entry, coded by folklore synthesis (not in source files)</t>
        </is>
      </c>
      <c r="Q86" s="5" t="n">
        <v>1</v>
      </c>
      <c r="R86" s="5" t="n">
        <v>2</v>
      </c>
      <c r="S86" s="5" t="n">
        <v>1</v>
      </c>
      <c r="T86" s="5" t="n">
        <v>0</v>
      </c>
      <c r="U86" s="5" t="n">
        <v>0</v>
      </c>
      <c r="V86" s="5" t="n">
        <v>0</v>
      </c>
      <c r="W86" s="5" t="n">
        <v>1</v>
      </c>
      <c r="X86" s="5" t="n">
        <v>0</v>
      </c>
      <c r="Y86" s="5" t="n">
        <v>1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1</v>
      </c>
      <c r="AG86" s="5" t="n">
        <v>1</v>
      </c>
      <c r="AH86" s="5" t="n">
        <v>1</v>
      </c>
    </row>
    <row r="87" ht="52" customHeight="1">
      <c r="A87" s="6" t="inlineStr">
        <is>
          <t>Hantu Buaya Putih</t>
        </is>
      </c>
      <c r="B87" s="6" t="inlineStr">
        <is>
          <t>hantu_buaya_putih_indonesia</t>
        </is>
      </c>
      <c r="C87" s="6" t="inlineStr">
        <is>
          <t>Indonesian Archipelago (widespread)</t>
        </is>
      </c>
      <c r="D87" s="6" t="inlineStr">
        <is>
          <t>Malay / Javanese river communities</t>
        </is>
      </c>
      <c r="E87" s="6" t="inlineStr">
        <is>
          <t>Therianthrope / Shapeshifter</t>
        </is>
      </c>
      <c r="F87" s="6" t="inlineStr">
        <is>
          <t>White crocodile (buaya putih)</t>
        </is>
      </c>
      <c r="G87" s="6" t="inlineStr">
        <is>
          <t>Flesh</t>
        </is>
      </c>
      <c r="H87" s="6" t="n">
        <v>4</v>
      </c>
      <c r="I87" s="6" t="inlineStr">
        <is>
          <t>White crocodile as transformed person / river guardian in widespread river lore.</t>
        </is>
      </c>
      <c r="J87" s="6" t="inlineStr">
        <is>
          <t>White crocodile (buaya putih). Coded features are in the trait matrix.</t>
        </is>
      </c>
      <c r="K87" s="6" t="inlineStr">
        <is>
          <t>Appears as an albino crocodile that behaves like a human.</t>
        </is>
      </c>
      <c r="L87" s="6" t="inlineStr">
        <is>
          <t>Offerings; do not harm a white crocodile.</t>
        </is>
      </c>
      <c r="M87" s="6" t="inlineStr">
        <is>
          <t>Comparative expansion entry added in v3 from widely retold Indonesian / Southeast Asian folklore motifs; portrayals vary by region and medium.</t>
        </is>
      </c>
      <c r="N87" s="6" t="inlineStr">
        <is>
          <t>Ingroup</t>
        </is>
      </c>
      <c r="O87" s="6" t="inlineStr">
        <is>
          <t>No — incertae sedis / not yet sampled</t>
        </is>
      </c>
      <c r="P87" s="6" t="inlineStr">
        <is>
          <t>YES — new v3 entry, coded by folklore synthesis (not in source files)</t>
        </is>
      </c>
      <c r="Q87" s="6" t="n">
        <v>0</v>
      </c>
      <c r="R87" s="6" t="n">
        <v>2</v>
      </c>
      <c r="S87" s="6" t="n">
        <v>0</v>
      </c>
      <c r="T87" s="6" t="n">
        <v>1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1</v>
      </c>
      <c r="Z87" s="6" t="n">
        <v>0</v>
      </c>
      <c r="AA87" s="6" t="n">
        <v>1</v>
      </c>
      <c r="AB87" s="6" t="n">
        <v>0</v>
      </c>
      <c r="AC87" s="6" t="n">
        <v>1</v>
      </c>
      <c r="AD87" s="6" t="n">
        <v>0</v>
      </c>
      <c r="AE87" s="6" t="n">
        <v>0</v>
      </c>
      <c r="AF87" s="6" t="n">
        <v>0</v>
      </c>
      <c r="AG87" s="6" t="n">
        <v>0</v>
      </c>
      <c r="AH87" s="6" t="n">
        <v>1</v>
      </c>
    </row>
    <row r="88" ht="52" customHeight="1">
      <c r="A88" s="5" t="inlineStr">
        <is>
          <t>Memedi</t>
        </is>
      </c>
      <c r="B88" s="5" t="inlineStr">
        <is>
          <t>memedi_java_indonesia</t>
        </is>
      </c>
      <c r="C88" s="5" t="inlineStr">
        <is>
          <t>Java</t>
        </is>
      </c>
      <c r="D88" s="5" t="inlineStr">
        <is>
          <t>Javanese</t>
        </is>
      </c>
      <c r="E88" s="5" t="inlineStr">
        <is>
          <t>Elemental / Demonic</t>
        </is>
      </c>
      <c r="F88" s="5" t="inlineStr">
        <is>
          <t>Shapeshifting fright-spirit</t>
        </is>
      </c>
      <c r="G88" s="5" t="inlineStr">
        <is>
          <t>Non-consumptive</t>
        </is>
      </c>
      <c r="H88" s="5" t="n">
        <v>2</v>
      </c>
      <c r="I88" s="5" t="inlineStr">
        <is>
          <t>Generic Javanese fright-spirit (memedi = that which frightens).</t>
        </is>
      </c>
      <c r="J88" s="5" t="inlineStr">
        <is>
          <t>Shapeshifting fright-spirit. Coded features are in the trait matrix.</t>
        </is>
      </c>
      <c r="K88" s="5" t="inlineStr">
        <is>
          <t>Takes whatever form most frightens the witness.</t>
        </is>
      </c>
      <c r="L88" s="5" t="inlineStr">
        <is>
          <t>Courage / prayers; form dissolves when faced calmly in tales.</t>
        </is>
      </c>
      <c r="M88" s="5" t="inlineStr">
        <is>
          <t>Comparative expansion entry added in v3 from widely retold Indonesian / Southeast Asian folklore motifs; portrayals vary by region and medium.</t>
        </is>
      </c>
      <c r="N88" s="5" t="inlineStr">
        <is>
          <t>Ingroup</t>
        </is>
      </c>
      <c r="O88" s="5" t="inlineStr">
        <is>
          <t>No — incertae sedis / not yet sampled</t>
        </is>
      </c>
      <c r="P88" s="5" t="inlineStr">
        <is>
          <t>YES — new v3 entry, coded by folklore synthesis (not in source files)</t>
        </is>
      </c>
      <c r="Q88" s="5" t="n">
        <v>1</v>
      </c>
      <c r="R88" s="5" t="n">
        <v>2</v>
      </c>
      <c r="S88" s="5" t="n">
        <v>0</v>
      </c>
      <c r="T88" s="5" t="n">
        <v>1</v>
      </c>
      <c r="U88" s="5" t="n">
        <v>0</v>
      </c>
      <c r="V88" s="5" t="n">
        <v>0</v>
      </c>
      <c r="W88" s="5" t="n">
        <v>0</v>
      </c>
      <c r="X88" s="5" t="n">
        <v>0</v>
      </c>
      <c r="Y88" s="5" t="n">
        <v>0</v>
      </c>
      <c r="Z88" s="5" t="n">
        <v>0</v>
      </c>
      <c r="AA88" s="5" t="n">
        <v>1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1</v>
      </c>
      <c r="AG88" s="5" t="n">
        <v>0</v>
      </c>
      <c r="AH88" s="5" t="n">
        <v>1</v>
      </c>
    </row>
    <row r="89" ht="52" customHeight="1">
      <c r="A89" s="6" t="inlineStr">
        <is>
          <t>Tonya</t>
        </is>
      </c>
      <c r="B89" s="6" t="inlineStr">
        <is>
          <t>tonya_sulawesi_indonesia</t>
        </is>
      </c>
      <c r="C89" s="6" t="inlineStr">
        <is>
          <t>Sulawesi</t>
        </is>
      </c>
      <c r="D89" s="6" t="inlineStr">
        <is>
          <t>Bugis / Makassar / Toraja</t>
        </is>
      </c>
      <c r="E89" s="6" t="inlineStr">
        <is>
          <t>Nature / Ancestral Spirit</t>
        </is>
      </c>
      <c r="F89" s="6" t="inlineStr">
        <is>
          <t>Place guardian spirit</t>
        </is>
      </c>
      <c r="G89" s="6" t="inlineStr">
        <is>
          <t>Non-consumptive</t>
        </is>
      </c>
      <c r="H89" s="6" t="n">
        <v>2</v>
      </c>
      <c r="I89" s="6" t="inlineStr">
        <is>
          <t>Guardian spirit of a place (tonya) in South Sulawesi usage.</t>
        </is>
      </c>
      <c r="J89" s="6" t="inlineStr">
        <is>
          <t>Place guardian spirit. Coded features are in the trait matrix.</t>
        </is>
      </c>
      <c r="K89" s="6" t="inlineStr">
        <is>
          <t>Guards houses, trees and heirlooms; punishes theft.</t>
        </is>
      </c>
      <c r="L89" s="6" t="inlineStr">
        <is>
          <t>Offerings and permission rituals.</t>
        </is>
      </c>
      <c r="M89" s="6" t="inlineStr">
        <is>
          <t>Comparative expansion entry added in v3 from widely retold Indonesian / Southeast Asian folklore motifs; portrayals vary by region and medium.</t>
        </is>
      </c>
      <c r="N89" s="6" t="inlineStr">
        <is>
          <t>Ingroup</t>
        </is>
      </c>
      <c r="O89" s="6" t="inlineStr">
        <is>
          <t>No — incertae sedis / not yet sampled</t>
        </is>
      </c>
      <c r="P89" s="6" t="inlineStr">
        <is>
          <t>YES — new v3 entry, coded by folklore synthesis (not in source files)</t>
        </is>
      </c>
      <c r="Q89" s="6" t="n">
        <v>1</v>
      </c>
      <c r="R89" s="6" t="n">
        <v>2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0</v>
      </c>
      <c r="AB89" s="6" t="n">
        <v>0</v>
      </c>
      <c r="AC89" s="6" t="n">
        <v>0</v>
      </c>
      <c r="AD89" s="6" t="n">
        <v>1</v>
      </c>
      <c r="AE89" s="6" t="n">
        <v>0</v>
      </c>
      <c r="AF89" s="6" t="n">
        <v>1</v>
      </c>
      <c r="AG89" s="6" t="n">
        <v>0</v>
      </c>
      <c r="AH89" s="6" t="n">
        <v>0</v>
      </c>
    </row>
    <row r="90" ht="52" customHeight="1">
      <c r="A90" s="5" t="inlineStr">
        <is>
          <t>Naga Besukih</t>
        </is>
      </c>
      <c r="B90" s="5" t="inlineStr">
        <is>
          <t>naga_besukih_bali_indonesia</t>
        </is>
      </c>
      <c r="C90" s="5" t="inlineStr">
        <is>
          <t>Bali</t>
        </is>
      </c>
      <c r="D90" s="5" t="inlineStr">
        <is>
          <t>Balinese (Hindu-Balinese)</t>
        </is>
      </c>
      <c r="E90" s="5" t="inlineStr">
        <is>
          <t>Nature / Ancestral Spirit</t>
        </is>
      </c>
      <c r="F90" s="5" t="inlineStr">
        <is>
          <t>Serpent / naga (cosmic dragon)</t>
        </is>
      </c>
      <c r="G90" s="5" t="inlineStr">
        <is>
          <t>Spiritual energy / offerings</t>
        </is>
      </c>
      <c r="H90" s="5" t="n">
        <v>3</v>
      </c>
      <c r="I90" s="5" t="inlineStr">
        <is>
          <t>Cosmic naga of Balinese lore whose scales are said to become gold / wealth.</t>
        </is>
      </c>
      <c r="J90" s="5" t="inlineStr">
        <is>
          <t>Serpent / naga (cosmic dragon). Coded features are in the trait matrix.</t>
        </is>
      </c>
      <c r="K90" s="5" t="inlineStr">
        <is>
          <t>Dwells in Mount Agung's realm; guards balance of the world.</t>
        </is>
      </c>
      <c r="L90" s="5" t="inlineStr">
        <is>
          <t>Offerings; temple ritual.</t>
        </is>
      </c>
      <c r="M90" s="5" t="inlineStr">
        <is>
          <t>Comparative expansion entry added in v3 from widely retold Indonesian / Southeast Asian folklore motifs; portrayals vary by region and medium.</t>
        </is>
      </c>
      <c r="N90" s="5" t="inlineStr">
        <is>
          <t>Ingroup</t>
        </is>
      </c>
      <c r="O90" s="5" t="inlineStr">
        <is>
          <t>No — incertae sedis / not yet sampled</t>
        </is>
      </c>
      <c r="P90" s="5" t="inlineStr">
        <is>
          <t>YES — new v3 entry, coded by folklore synthesis (not in source files)</t>
        </is>
      </c>
      <c r="Q90" s="5" t="n">
        <v>0</v>
      </c>
      <c r="R90" s="5" t="n">
        <v>2</v>
      </c>
      <c r="S90" s="5" t="n">
        <v>0</v>
      </c>
      <c r="T90" s="5" t="n">
        <v>0</v>
      </c>
      <c r="U90" s="5" t="n">
        <v>0</v>
      </c>
      <c r="V90" s="5" t="n">
        <v>0</v>
      </c>
      <c r="W90" s="5" t="n">
        <v>0</v>
      </c>
      <c r="X90" s="5" t="n">
        <v>0</v>
      </c>
      <c r="Y90" s="5" t="n">
        <v>0</v>
      </c>
      <c r="Z90" s="5" t="n">
        <v>0</v>
      </c>
      <c r="AA90" s="5" t="n">
        <v>1</v>
      </c>
      <c r="AB90" s="5" t="n">
        <v>0</v>
      </c>
      <c r="AC90" s="5" t="n">
        <v>0</v>
      </c>
      <c r="AD90" s="5" t="n">
        <v>1</v>
      </c>
      <c r="AE90" s="5" t="n">
        <v>0</v>
      </c>
      <c r="AF90" s="5" t="n">
        <v>1</v>
      </c>
      <c r="AG90" s="5" t="n">
        <v>0</v>
      </c>
      <c r="AH90" s="5" t="n">
        <v>0</v>
      </c>
    </row>
    <row r="91" ht="52" customHeight="1">
      <c r="A91" s="6" t="inlineStr">
        <is>
          <t>Parakang</t>
        </is>
      </c>
      <c r="B91" s="6" t="inlineStr">
        <is>
          <t>parakang_sulawesi_indonesia</t>
        </is>
      </c>
      <c r="C91" s="6" t="inlineStr">
        <is>
          <t>Sulawesi</t>
        </is>
      </c>
      <c r="D91" s="6" t="inlineStr">
        <is>
          <t>Bugis / Makassar</t>
        </is>
      </c>
      <c r="E91" s="6" t="inlineStr">
        <is>
          <t>Volant Viscerophage</t>
        </is>
      </c>
      <c r="F91" s="6" t="inlineStr">
        <is>
          <t>Detached flying head / transformed person</t>
        </is>
      </c>
      <c r="G91" s="6" t="inlineStr">
        <is>
          <t>Blood / fetuses</t>
        </is>
      </c>
      <c r="H91" s="6" t="n">
        <v>5</v>
      </c>
      <c r="I91" s="6" t="inlineStr">
        <is>
          <t>South Sulawesi flying-head / organ-eater, cognate of Palasik and Kuyang.</t>
        </is>
      </c>
      <c r="J91" s="6" t="inlineStr">
        <is>
          <t>Detached flying head / transformed person. Coded features are in the trait matrix.</t>
        </is>
      </c>
      <c r="K91" s="6" t="inlineStr">
        <is>
          <t>Transforms at night; attacks pregnant women and infants.</t>
        </is>
      </c>
      <c r="L91" s="6" t="inlineStr">
        <is>
          <t>Garlic, sharp objects by the bed; expose the empty body.</t>
        </is>
      </c>
      <c r="M91" s="6" t="inlineStr">
        <is>
          <t>Comparative expansion entry added in v3 from widely retold Indonesian / Southeast Asian folklore motifs; portrayals vary by region and medium.</t>
        </is>
      </c>
      <c r="N91" s="6" t="inlineStr">
        <is>
          <t>Ingroup</t>
        </is>
      </c>
      <c r="O91" s="6" t="inlineStr">
        <is>
          <t>No — incertae sedis / not yet sampled</t>
        </is>
      </c>
      <c r="P91" s="6" t="inlineStr">
        <is>
          <t>YES — new v3 entry, coded by folklore synthesis (not in source files)</t>
        </is>
      </c>
      <c r="Q91" s="6" t="n">
        <v>1</v>
      </c>
      <c r="R91" s="6" t="n">
        <v>2</v>
      </c>
      <c r="S91" s="6" t="n">
        <v>1</v>
      </c>
      <c r="T91" s="6" t="n">
        <v>0</v>
      </c>
      <c r="U91" s="6" t="n">
        <v>1</v>
      </c>
      <c r="V91" s="6" t="n">
        <v>1</v>
      </c>
      <c r="W91" s="6" t="n">
        <v>1</v>
      </c>
      <c r="X91" s="6" t="n">
        <v>1</v>
      </c>
      <c r="Y91" s="6" t="n">
        <v>0</v>
      </c>
      <c r="Z91" s="6" t="n">
        <v>0</v>
      </c>
      <c r="AA91" s="6" t="n">
        <v>0</v>
      </c>
      <c r="AB91" s="6" t="n">
        <v>1</v>
      </c>
      <c r="AC91" s="6" t="n">
        <v>0</v>
      </c>
      <c r="AD91" s="6" t="n">
        <v>0</v>
      </c>
      <c r="AE91" s="6" t="n">
        <v>0</v>
      </c>
      <c r="AF91" s="6" t="n">
        <v>1</v>
      </c>
      <c r="AG91" s="6" t="n">
        <v>1</v>
      </c>
      <c r="AH91" s="6" t="n">
        <v>1</v>
      </c>
    </row>
    <row r="92" ht="52" customHeight="1">
      <c r="A92" s="5" t="inlineStr">
        <is>
          <t>Pokpok</t>
        </is>
      </c>
      <c r="B92" s="5" t="inlineStr">
        <is>
          <t>pokpok_sulawesi_indonesia</t>
        </is>
      </c>
      <c r="C92" s="5" t="inlineStr">
        <is>
          <t>Sulawesi</t>
        </is>
      </c>
      <c r="D92" s="5" t="inlineStr">
        <is>
          <t>Bugis / Makassar</t>
        </is>
      </c>
      <c r="E92" s="5" t="inlineStr">
        <is>
          <t>Volant Viscerophage</t>
        </is>
      </c>
      <c r="F92" s="5" t="inlineStr">
        <is>
          <t>Flying transformed witch</t>
        </is>
      </c>
      <c r="G92" s="5" t="inlineStr">
        <is>
          <t>Blood / fetuses</t>
        </is>
      </c>
      <c r="H92" s="5" t="n">
        <v>5</v>
      </c>
      <c r="I92" s="5" t="inlineStr">
        <is>
          <t>Witch form named for its 'pok-pok' sound in flight in South Sulawesi lore.</t>
        </is>
      </c>
      <c r="J92" s="5" t="inlineStr">
        <is>
          <t>Flying transformed witch. Coded features are in the trait matrix.</t>
        </is>
      </c>
      <c r="K92" s="5" t="inlineStr">
        <is>
          <t>Flies at night making pok-pok sounds; seeks pregnant victims.</t>
        </is>
      </c>
      <c r="L92" s="5" t="inlineStr">
        <is>
          <t>Hide pregnancy signs; protective amulets.</t>
        </is>
      </c>
      <c r="M92" s="5" t="inlineStr">
        <is>
          <t>Comparative expansion entry added in v3 from widely retold Indonesian / Southeast Asian folklore motifs; portrayals vary by region and medium.</t>
        </is>
      </c>
      <c r="N92" s="5" t="inlineStr">
        <is>
          <t>Ingroup</t>
        </is>
      </c>
      <c r="O92" s="5" t="inlineStr">
        <is>
          <t>No — incertae sedis / not yet sampled</t>
        </is>
      </c>
      <c r="P92" s="5" t="inlineStr">
        <is>
          <t>YES — new v3 entry, coded by folklore synthesis (not in source files)</t>
        </is>
      </c>
      <c r="Q92" s="5" t="n">
        <v>1</v>
      </c>
      <c r="R92" s="5" t="n">
        <v>2</v>
      </c>
      <c r="S92" s="5" t="n">
        <v>1</v>
      </c>
      <c r="T92" s="5" t="n">
        <v>0</v>
      </c>
      <c r="U92" s="5" t="n">
        <v>1</v>
      </c>
      <c r="V92" s="5" t="n">
        <v>1</v>
      </c>
      <c r="W92" s="5" t="n">
        <v>1</v>
      </c>
      <c r="X92" s="5" t="n">
        <v>1</v>
      </c>
      <c r="Y92" s="5" t="n">
        <v>0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1</v>
      </c>
      <c r="AG92" s="5" t="n">
        <v>1</v>
      </c>
      <c r="AH92" s="5" t="n">
        <v>1</v>
      </c>
    </row>
    <row r="93" ht="52" customHeight="1">
      <c r="A93" s="6" t="inlineStr">
        <is>
          <t>Longga</t>
        </is>
      </c>
      <c r="B93" s="6" t="inlineStr">
        <is>
          <t>longga_sulawesi_indonesia</t>
        </is>
      </c>
      <c r="C93" s="6" t="inlineStr">
        <is>
          <t>Sulawesi</t>
        </is>
      </c>
      <c r="D93" s="6" t="inlineStr">
        <is>
          <t>Toraja / Central Sulawesi</t>
        </is>
      </c>
      <c r="E93" s="6" t="inlineStr">
        <is>
          <t>Elemental / Demonic</t>
        </is>
      </c>
      <c r="F93" s="6" t="inlineStr">
        <is>
          <t>Elongated / stretching humanoid</t>
        </is>
      </c>
      <c r="G93" s="6" t="inlineStr">
        <is>
          <t>Life force / soul</t>
        </is>
      </c>
      <c r="H93" s="6" t="n">
        <v>4</v>
      </c>
      <c r="I93" s="6" t="inlineStr">
        <is>
          <t>Tall stretching ghost of Sulawesi lore, cognate of Hantu Galah / Begu Ganjang.</t>
        </is>
      </c>
      <c r="J93" s="6" t="inlineStr">
        <is>
          <t>Elongated / stretching humanoid. Coded features are in the trait matrix.</t>
        </is>
      </c>
      <c r="K93" s="6" t="inlineStr">
        <is>
          <t>Grows taller when watched; haunts paths.</t>
        </is>
      </c>
      <c r="L93" s="6" t="inlineStr">
        <is>
          <t>Do not stare; prayers.</t>
        </is>
      </c>
      <c r="M93" s="6" t="inlineStr">
        <is>
          <t>Comparative expansion entry added in v3 from widely retold Indonesian / Southeast Asian folklore motifs; portrayals vary by region and medium.</t>
        </is>
      </c>
      <c r="N93" s="6" t="inlineStr">
        <is>
          <t>Ingroup</t>
        </is>
      </c>
      <c r="O93" s="6" t="inlineStr">
        <is>
          <t>No — incertae sedis / not yet sampled</t>
        </is>
      </c>
      <c r="P93" s="6" t="inlineStr">
        <is>
          <t>YES — new v3 entry, coded by folklore synthesis (not in source files)</t>
        </is>
      </c>
      <c r="Q93" s="6" t="n">
        <v>1</v>
      </c>
      <c r="R93" s="6" t="n">
        <v>2</v>
      </c>
      <c r="S93" s="6" t="n">
        <v>0</v>
      </c>
      <c r="T93" s="6" t="n">
        <v>1</v>
      </c>
      <c r="U93" s="6" t="n">
        <v>0</v>
      </c>
      <c r="V93" s="6" t="n">
        <v>0</v>
      </c>
      <c r="W93" s="6" t="n">
        <v>0</v>
      </c>
      <c r="X93" s="6" t="n">
        <v>0</v>
      </c>
      <c r="Y93" s="6" t="n">
        <v>0</v>
      </c>
      <c r="Z93" s="6" t="n">
        <v>0</v>
      </c>
      <c r="AA93" s="6" t="n">
        <v>0</v>
      </c>
      <c r="AB93" s="6" t="n">
        <v>0</v>
      </c>
      <c r="AC93" s="6" t="n">
        <v>0</v>
      </c>
      <c r="AD93" s="6" t="n">
        <v>1</v>
      </c>
      <c r="AE93" s="6" t="n">
        <v>0</v>
      </c>
      <c r="AF93" s="6" t="n">
        <v>0</v>
      </c>
      <c r="AG93" s="6" t="n">
        <v>0</v>
      </c>
      <c r="AH93" s="6" t="n">
        <v>1</v>
      </c>
    </row>
    <row r="94" ht="52" customHeight="1">
      <c r="A94" s="5" t="inlineStr">
        <is>
          <t>Waruga Spirit</t>
        </is>
      </c>
      <c r="B94" s="5" t="inlineStr">
        <is>
          <t>waruga_spirit_sulawesi_indonesia</t>
        </is>
      </c>
      <c r="C94" s="5" t="inlineStr">
        <is>
          <t>Sulawesi (Minahasa)</t>
        </is>
      </c>
      <c r="D94" s="5" t="inlineStr">
        <is>
          <t>Minahasan</t>
        </is>
      </c>
      <c r="E94" s="5" t="inlineStr">
        <is>
          <t>Undead / Revenant</t>
        </is>
      </c>
      <c r="F94" s="5" t="inlineStr">
        <is>
          <t>Ancestral spirit of stone sarcophagus (waruga)</t>
        </is>
      </c>
      <c r="G94" s="5" t="inlineStr">
        <is>
          <t>Non-consumptive</t>
        </is>
      </c>
      <c r="H94" s="5" t="n">
        <v>2</v>
      </c>
      <c r="I94" s="5" t="inlineStr">
        <is>
          <t>Ancestral presence tied to waruga stone burial sarcophagi of Minahasa.</t>
        </is>
      </c>
      <c r="J94" s="5" t="inlineStr">
        <is>
          <t>Ancestral spirit of stone sarcophagus (waruga). Coded features are in the trait matrix.</t>
        </is>
      </c>
      <c r="K94" s="5" t="inlineStr">
        <is>
          <t>Guards ancestral burial grounds.</t>
        </is>
      </c>
      <c r="L94" s="5" t="inlineStr">
        <is>
          <t>Respect and offerings at waruga sites.</t>
        </is>
      </c>
      <c r="M94" s="5" t="inlineStr">
        <is>
          <t>Comparative expansion entry added in v3 from widely retold Indonesian / Southeast Asian folklore motifs; portrayals vary by region and medium.</t>
        </is>
      </c>
      <c r="N94" s="5" t="inlineStr">
        <is>
          <t>Ingroup</t>
        </is>
      </c>
      <c r="O94" s="5" t="inlineStr">
        <is>
          <t>No — incertae sedis / not yet sampled</t>
        </is>
      </c>
      <c r="P94" s="5" t="inlineStr">
        <is>
          <t>YES — new v3 entry, coded by folklore synthesis (not in source files)</t>
        </is>
      </c>
      <c r="Q94" s="5" t="n">
        <v>1</v>
      </c>
      <c r="R94" s="5" t="n">
        <v>2</v>
      </c>
      <c r="S94" s="5" t="n">
        <v>1</v>
      </c>
      <c r="T94" s="5" t="n">
        <v>0</v>
      </c>
      <c r="U94" s="5" t="n">
        <v>1</v>
      </c>
      <c r="V94" s="5" t="n">
        <v>0</v>
      </c>
      <c r="W94" s="5" t="n">
        <v>0</v>
      </c>
      <c r="X94" s="5" t="n">
        <v>0</v>
      </c>
      <c r="Y94" s="5" t="n">
        <v>0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1</v>
      </c>
      <c r="AE94" s="5" t="n">
        <v>0</v>
      </c>
      <c r="AF94" s="5" t="n">
        <v>1</v>
      </c>
      <c r="AG94" s="5" t="n">
        <v>0</v>
      </c>
      <c r="AH94" s="5" t="n">
        <v>0</v>
      </c>
    </row>
    <row r="95" ht="52" customHeight="1">
      <c r="A95" s="6" t="inlineStr">
        <is>
          <t>Jin Qarin</t>
        </is>
      </c>
      <c r="B95" s="6" t="inlineStr">
        <is>
          <t>jin_qarin_indonesian_archipelago</t>
        </is>
      </c>
      <c r="C95" s="6" t="inlineStr">
        <is>
          <t>Indonesian Archipelago (widespread)</t>
        </is>
      </c>
      <c r="D95" s="6" t="inlineStr">
        <is>
          <t>Muslim communities (Islamic tradition in Indonesia)</t>
        </is>
      </c>
      <c r="E95" s="6" t="inlineStr">
        <is>
          <t>Elemental / Demonic</t>
        </is>
      </c>
      <c r="F95" s="6" t="inlineStr">
        <is>
          <t>Human double / jin companion</t>
        </is>
      </c>
      <c r="G95" s="6" t="inlineStr">
        <is>
          <t>Non-consumptive</t>
        </is>
      </c>
      <c r="H95" s="6" t="n">
        <v>3</v>
      </c>
      <c r="I95" s="6" t="inlineStr">
        <is>
          <t>Companion jin (qarin) said in Islamic tradition to accompany every person from birth.</t>
        </is>
      </c>
      <c r="J95" s="6" t="inlineStr">
        <is>
          <t>Human double / jin companion. Coded features are in the trait matrix.</t>
        </is>
      </c>
      <c r="K95" s="6" t="inlineStr">
        <is>
          <t>Whispers temptation; mimics its human after death in popular lore.</t>
        </is>
      </c>
      <c r="L95" s="6" t="inlineStr">
        <is>
          <t>Prayer and Qur'an recitation.</t>
        </is>
      </c>
      <c r="M95" s="6" t="inlineStr">
        <is>
          <t>Comparative expansion entry added in v3 from widely retold Indonesian / Southeast Asian folklore motifs; portrayals vary by region and medium.</t>
        </is>
      </c>
      <c r="N95" s="6" t="inlineStr">
        <is>
          <t>Ingroup</t>
        </is>
      </c>
      <c r="O95" s="6" t="inlineStr">
        <is>
          <t>No — incertae sedis / not yet sampled</t>
        </is>
      </c>
      <c r="P95" s="6" t="inlineStr">
        <is>
          <t>YES — new v3 entry, coded by folklore synthesis (not in source files)</t>
        </is>
      </c>
      <c r="Q95" s="6" t="n">
        <v>1</v>
      </c>
      <c r="R95" s="6" t="n">
        <v>2</v>
      </c>
      <c r="S95" s="6" t="n">
        <v>0</v>
      </c>
      <c r="T95" s="6" t="n">
        <v>1</v>
      </c>
      <c r="U95" s="6" t="n">
        <v>0</v>
      </c>
      <c r="V95" s="6" t="n">
        <v>0</v>
      </c>
      <c r="W95" s="6" t="n">
        <v>0</v>
      </c>
      <c r="X95" s="6" t="n">
        <v>0</v>
      </c>
      <c r="Y95" s="6" t="n">
        <v>0</v>
      </c>
      <c r="Z95" s="6" t="n">
        <v>0</v>
      </c>
      <c r="AA95" s="6" t="n">
        <v>0</v>
      </c>
      <c r="AB95" s="6" t="n">
        <v>0</v>
      </c>
      <c r="AC95" s="6" t="n">
        <v>0</v>
      </c>
      <c r="AD95" s="6" t="n">
        <v>0</v>
      </c>
      <c r="AE95" s="6" t="n">
        <v>0</v>
      </c>
      <c r="AF95" s="6" t="n">
        <v>1</v>
      </c>
      <c r="AG95" s="6" t="n">
        <v>1</v>
      </c>
      <c r="AH95" s="6" t="n">
        <v>1</v>
      </c>
    </row>
    <row r="96" ht="52" customHeight="1">
      <c r="A96" s="5" t="inlineStr">
        <is>
          <t>Preta</t>
        </is>
      </c>
      <c r="B96" s="5" t="inlineStr">
        <is>
          <t>preta_indonesian_archipelago</t>
        </is>
      </c>
      <c r="C96" s="5" t="inlineStr">
        <is>
          <t>Indonesian Archipelago (widespread)</t>
        </is>
      </c>
      <c r="D96" s="5" t="inlineStr">
        <is>
          <t>Hindu-Buddhist tradition (Java / Bali heritage)</t>
        </is>
      </c>
      <c r="E96" s="5" t="inlineStr">
        <is>
          <t>Undead / Revenant</t>
        </is>
      </c>
      <c r="F96" s="5" t="inlineStr">
        <is>
          <t>Gaunt hungry ghost (small mouth, huge belly)</t>
        </is>
      </c>
      <c r="G96" s="5" t="inlineStr">
        <is>
          <t>Non-consumptive (insatiable hunger)</t>
        </is>
      </c>
      <c r="H96" s="5" t="n">
        <v>3</v>
      </c>
      <c r="I96" s="5" t="inlineStr">
        <is>
          <t>Hungry ghost of Hindu-Buddhist cosmology, retained in Javanese / Balinese heritage.</t>
        </is>
      </c>
      <c r="J96" s="5" t="inlineStr">
        <is>
          <t>Gaunt hungry ghost (small mouth, huge belly). Coded features are in the trait matrix.</t>
        </is>
      </c>
      <c r="K96" s="5" t="inlineStr">
        <is>
          <t>Wanders unable to eat or drink; fed by merit-transfer offerings.</t>
        </is>
      </c>
      <c r="L96" s="5" t="inlineStr">
        <is>
          <t>Offerings and prayers for the dead.</t>
        </is>
      </c>
      <c r="M96" s="5" t="inlineStr">
        <is>
          <t>Comparative expansion entry added in v3 from widely retold Indonesian / Southeast Asian folklore motifs; portrayals vary by region and medium.</t>
        </is>
      </c>
      <c r="N96" s="5" t="inlineStr">
        <is>
          <t>Ingroup</t>
        </is>
      </c>
      <c r="O96" s="5" t="inlineStr">
        <is>
          <t>No — incertae sedis / not yet sampled</t>
        </is>
      </c>
      <c r="P96" s="5" t="inlineStr">
        <is>
          <t>YES — new v3 entry, coded by folklore synthesis (not in source files)</t>
        </is>
      </c>
      <c r="Q96" s="5" t="n">
        <v>1</v>
      </c>
      <c r="R96" s="5" t="n">
        <v>2</v>
      </c>
      <c r="S96" s="5" t="n">
        <v>1</v>
      </c>
      <c r="T96" s="5" t="n">
        <v>0</v>
      </c>
      <c r="U96" s="5" t="n">
        <v>1</v>
      </c>
      <c r="V96" s="5" t="n">
        <v>0</v>
      </c>
      <c r="W96" s="5" t="n">
        <v>0</v>
      </c>
      <c r="X96" s="5" t="n">
        <v>1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1</v>
      </c>
      <c r="AG96" s="5" t="n">
        <v>0</v>
      </c>
      <c r="AH96" s="5" t="n">
        <v>1</v>
      </c>
    </row>
    <row r="97" ht="52" customHeight="1">
      <c r="A97" s="6" t="inlineStr">
        <is>
          <t>Hantu Air</t>
        </is>
      </c>
      <c r="B97" s="6" t="inlineStr">
        <is>
          <t>hantu_air_indonesian_archipelago</t>
        </is>
      </c>
      <c r="C97" s="6" t="inlineStr">
        <is>
          <t>Indonesian Archipelago (widespread)</t>
        </is>
      </c>
      <c r="D97" s="6" t="inlineStr">
        <is>
          <t>Malay / multi-ethnic</t>
        </is>
      </c>
      <c r="E97" s="6" t="inlineStr">
        <is>
          <t>Elemental / Demonic</t>
        </is>
      </c>
      <c r="F97" s="6" t="inlineStr">
        <is>
          <t>Aquatic spirit</t>
        </is>
      </c>
      <c r="G97" s="6" t="inlineStr">
        <is>
          <t>Flesh (drowning)</t>
        </is>
      </c>
      <c r="H97" s="6" t="n">
        <v>4</v>
      </c>
      <c r="I97" s="6" t="inlineStr">
        <is>
          <t>Generic water ghost (hantu air) of rivers, lakes and wells across the Malay-Indonesian world.</t>
        </is>
      </c>
      <c r="J97" s="6" t="inlineStr">
        <is>
          <t>Aquatic spirit. Coded features are in the trait matrix.</t>
        </is>
      </c>
      <c r="K97" s="6" t="inlineStr">
        <is>
          <t>Drowns the careless; rises at dusk and in floods.</t>
        </is>
      </c>
      <c r="L97" s="6" t="inlineStr">
        <is>
          <t>Prayers; pawang mediation; avoid water at dusk.</t>
        </is>
      </c>
      <c r="M97" s="6" t="inlineStr">
        <is>
          <t>Comparative expansion entry added in v3 from widely retold Indonesian / Southeast Asian folklore motifs; portrayals vary by region and medium.</t>
        </is>
      </c>
      <c r="N97" s="6" t="inlineStr">
        <is>
          <t>Ingroup</t>
        </is>
      </c>
      <c r="O97" s="6" t="inlineStr">
        <is>
          <t>No — incertae sedis / not yet sampled</t>
        </is>
      </c>
      <c r="P97" s="6" t="inlineStr">
        <is>
          <t>YES — new v3 entry, coded by folklore synthesis (not in source files)</t>
        </is>
      </c>
      <c r="Q97" s="6" t="n">
        <v>1</v>
      </c>
      <c r="R97" s="6" t="n">
        <v>2</v>
      </c>
      <c r="S97" s="6" t="n">
        <v>0</v>
      </c>
      <c r="T97" s="6" t="n">
        <v>1</v>
      </c>
      <c r="U97" s="6" t="n">
        <v>0</v>
      </c>
      <c r="V97" s="6" t="n">
        <v>0</v>
      </c>
      <c r="W97" s="6" t="n">
        <v>0</v>
      </c>
      <c r="X97" s="6" t="n">
        <v>0</v>
      </c>
      <c r="Y97" s="6" t="n">
        <v>1</v>
      </c>
      <c r="Z97" s="6" t="n">
        <v>0</v>
      </c>
      <c r="AA97" s="6" t="n">
        <v>0</v>
      </c>
      <c r="AB97" s="6" t="n">
        <v>0</v>
      </c>
      <c r="AC97" s="6" t="n">
        <v>1</v>
      </c>
      <c r="AD97" s="6" t="n">
        <v>0</v>
      </c>
      <c r="AE97" s="6" t="n">
        <v>0</v>
      </c>
      <c r="AF97" s="6" t="n">
        <v>1</v>
      </c>
      <c r="AG97" s="6" t="n">
        <v>0</v>
      </c>
      <c r="AH97" s="6" t="n">
        <v>1</v>
      </c>
    </row>
    <row r="98" ht="52" customHeight="1">
      <c r="A98" s="5" t="inlineStr">
        <is>
          <t>Aswang</t>
        </is>
      </c>
      <c r="B98" s="5" t="inlineStr">
        <is>
          <t>aswang_philippines</t>
        </is>
      </c>
      <c r="C98" s="5" t="inlineStr">
        <is>
          <t>Philippines (Outgroup)</t>
        </is>
      </c>
      <c r="D98" s="5" t="inlineStr">
        <is>
          <t>Filipino — outgroup comparator</t>
        </is>
      </c>
      <c r="E98" s="5" t="inlineStr">
        <is>
          <t>Volant Viscerophage</t>
        </is>
      </c>
      <c r="F98" s="5" t="inlineStr">
        <is>
          <t>Shapeshifting viscera-sucker</t>
        </is>
      </c>
      <c r="G98" s="5" t="inlineStr">
        <is>
          <t>Blood / fetuses</t>
        </is>
      </c>
      <c r="H98" s="5" t="n">
        <v>5</v>
      </c>
      <c r="I98" s="5" t="inlineStr">
        <is>
          <t>Umbrella Filipino viscera-sucker; long proboscis tongue in many tellings.</t>
        </is>
      </c>
      <c r="J98" s="5" t="inlineStr">
        <is>
          <t>Shapeshifting viscera-sucker. Coded features are in the trait matrix.</t>
        </is>
      </c>
      <c r="K98" s="5" t="inlineStr">
        <is>
          <t>Shapeshifts by day, hunts by night; tiktik sound grows fainter as it nears.</t>
        </is>
      </c>
      <c r="L98" s="5" t="inlineStr">
        <is>
          <t>Garlic, salt, ash, blessed oil.</t>
        </is>
      </c>
      <c r="M98" s="5" t="inlineStr">
        <is>
          <t>Comparative expansion entry added in v3 from widely retold Indonesian / Southeast Asian folklore motifs; portrayals vary by region and medium.</t>
        </is>
      </c>
      <c r="N98" s="5" t="inlineStr">
        <is>
          <t>Outgroup</t>
        </is>
      </c>
      <c r="O98" s="5" t="inlineStr">
        <is>
          <t>No — incertae sedis / not yet sampled</t>
        </is>
      </c>
      <c r="P98" s="5" t="inlineStr">
        <is>
          <t>YES — new v3 entry, coded by folklore synthesis (not in source files)</t>
        </is>
      </c>
      <c r="Q98" s="5" t="n">
        <v>1</v>
      </c>
      <c r="R98" s="5" t="n">
        <v>1</v>
      </c>
      <c r="S98" s="5" t="n">
        <v>1</v>
      </c>
      <c r="T98" s="5" t="n">
        <v>0</v>
      </c>
      <c r="U98" s="5" t="n">
        <v>1</v>
      </c>
      <c r="V98" s="5" t="n">
        <v>1</v>
      </c>
      <c r="W98" s="5" t="n">
        <v>1</v>
      </c>
      <c r="X98" s="5" t="n">
        <v>1</v>
      </c>
      <c r="Y98" s="5" t="n">
        <v>0</v>
      </c>
      <c r="Z98" s="5" t="n">
        <v>0</v>
      </c>
      <c r="AA98" s="5" t="n">
        <v>1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1</v>
      </c>
      <c r="AG98" s="5" t="n">
        <v>1</v>
      </c>
      <c r="AH98" s="5" t="n">
        <v>1</v>
      </c>
    </row>
    <row r="99" ht="52" customHeight="1">
      <c r="A99" s="6" t="inlineStr">
        <is>
          <t>Tikbalang</t>
        </is>
      </c>
      <c r="B99" s="6" t="inlineStr">
        <is>
          <t>tikbalang_philippines</t>
        </is>
      </c>
      <c r="C99" s="6" t="inlineStr">
        <is>
          <t>Philippines (Outgroup)</t>
        </is>
      </c>
      <c r="D99" s="6" t="inlineStr">
        <is>
          <t>Filipino — outgroup comparator</t>
        </is>
      </c>
      <c r="E99" s="6" t="inlineStr">
        <is>
          <t>Therianthrope / Shapeshifter</t>
        </is>
      </c>
      <c r="F99" s="6" t="inlineStr">
        <is>
          <t>Horse–human hybrid</t>
        </is>
      </c>
      <c r="G99" s="6" t="inlineStr">
        <is>
          <t>Non-consumptive</t>
        </is>
      </c>
      <c r="H99" s="6" t="n">
        <v>3</v>
      </c>
      <c r="I99" s="6" t="inlineStr">
        <is>
          <t>Horse-headed trickster of Philippine forests.</t>
        </is>
      </c>
      <c r="J99" s="6" t="inlineStr">
        <is>
          <t>Horse–human hybrid. Coded features are in the trait matrix.</t>
        </is>
      </c>
      <c r="K99" s="6" t="inlineStr">
        <is>
          <t>Misleads travellers; causes disorientation.</t>
        </is>
      </c>
      <c r="L99" s="6" t="inlineStr">
        <is>
          <t>Wear shirt inside-out; ask permission to pass.</t>
        </is>
      </c>
      <c r="M99" s="6" t="inlineStr">
        <is>
          <t>Comparative expansion entry added in v3 from widely retold Indonesian / Southeast Asian folklore motifs; portrayals vary by region and medium.</t>
        </is>
      </c>
      <c r="N99" s="6" t="inlineStr">
        <is>
          <t>Outgroup</t>
        </is>
      </c>
      <c r="O99" s="6" t="inlineStr">
        <is>
          <t>No — incertae sedis / not yet sampled</t>
        </is>
      </c>
      <c r="P99" s="6" t="inlineStr">
        <is>
          <t>YES — new v3 entry, coded by folklore synthesis (not in source files)</t>
        </is>
      </c>
      <c r="Q99" s="6" t="n">
        <v>1</v>
      </c>
      <c r="R99" s="6" t="n">
        <v>2</v>
      </c>
      <c r="S99" s="6" t="n">
        <v>0</v>
      </c>
      <c r="T99" s="6" t="n">
        <v>1</v>
      </c>
      <c r="U99" s="6" t="n">
        <v>0</v>
      </c>
      <c r="V99" s="6" t="n">
        <v>0</v>
      </c>
      <c r="W99" s="6" t="n">
        <v>0</v>
      </c>
      <c r="X99" s="6" t="n">
        <v>0</v>
      </c>
      <c r="Y99" s="6" t="n">
        <v>0</v>
      </c>
      <c r="Z99" s="6" t="n">
        <v>1</v>
      </c>
      <c r="AA99" s="6" t="n">
        <v>1</v>
      </c>
      <c r="AB99" s="6" t="n">
        <v>0</v>
      </c>
      <c r="AC99" s="6" t="n">
        <v>0</v>
      </c>
      <c r="AD99" s="6" t="n">
        <v>1</v>
      </c>
      <c r="AE99" s="6" t="n">
        <v>0</v>
      </c>
      <c r="AF99" s="6" t="n">
        <v>0</v>
      </c>
      <c r="AG99" s="6" t="n">
        <v>0</v>
      </c>
      <c r="AH99" s="6" t="n">
        <v>1</v>
      </c>
    </row>
    <row r="100" ht="52" customHeight="1">
      <c r="A100" s="5" t="inlineStr">
        <is>
          <t>Phi Tai Hong</t>
        </is>
      </c>
      <c r="B100" s="5" t="inlineStr">
        <is>
          <t>phi_tai_hong_thailand</t>
        </is>
      </c>
      <c r="C100" s="5" t="inlineStr">
        <is>
          <t>Thailand (Outgroup)</t>
        </is>
      </c>
      <c r="D100" s="5" t="inlineStr">
        <is>
          <t>Thai — outgroup comparator</t>
        </is>
      </c>
      <c r="E100" s="5" t="inlineStr">
        <is>
          <t>Vengeful Female</t>
        </is>
      </c>
      <c r="F100" s="5" t="inlineStr">
        <is>
          <t>Spectral human (violent-death ghost)</t>
        </is>
      </c>
      <c r="G100" s="5" t="inlineStr">
        <is>
          <t>Non-consumptive</t>
        </is>
      </c>
      <c r="H100" s="5" t="n">
        <v>4</v>
      </c>
      <c r="I100" s="5" t="inlineStr">
        <is>
          <t>Ghost of a person who died violently / suddenly in Thai belief.</t>
        </is>
      </c>
      <c r="J100" s="5" t="inlineStr">
        <is>
          <t>Spectral human (violent-death ghost). Coded features are in the trait matrix.</t>
        </is>
      </c>
      <c r="K100" s="5" t="inlineStr">
        <is>
          <t>Among the most feared and powerful phi; haunts the death site.</t>
        </is>
      </c>
      <c r="L100" s="5" t="inlineStr">
        <is>
          <t>Merit-making and monk-led rites.</t>
        </is>
      </c>
      <c r="M100" s="5" t="inlineStr">
        <is>
          <t>Comparative expansion entry added in v3 from widely retold Indonesian / Southeast Asian folklore motifs; portrayals vary by region and medium.</t>
        </is>
      </c>
      <c r="N100" s="5" t="inlineStr">
        <is>
          <t>Outgroup</t>
        </is>
      </c>
      <c r="O100" s="5" t="inlineStr">
        <is>
          <t>No — incertae sedis / not yet sampled</t>
        </is>
      </c>
      <c r="P100" s="5" t="inlineStr">
        <is>
          <t>YES — new v3 entry, coded by folklore synthesis (not in source files)</t>
        </is>
      </c>
      <c r="Q100" s="5" t="n">
        <v>1</v>
      </c>
      <c r="R100" s="5" t="n">
        <v>1</v>
      </c>
      <c r="S100" s="5" t="n">
        <v>1</v>
      </c>
      <c r="T100" s="5" t="n">
        <v>1</v>
      </c>
      <c r="U100" s="5" t="n">
        <v>1</v>
      </c>
      <c r="V100" s="5" t="n">
        <v>0</v>
      </c>
      <c r="W100" s="5" t="n">
        <v>0</v>
      </c>
      <c r="X100" s="5" t="n">
        <v>0</v>
      </c>
      <c r="Y100" s="5" t="n">
        <v>0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1</v>
      </c>
      <c r="AG100" s="5" t="n">
        <v>0</v>
      </c>
      <c r="AH100" s="5" t="n">
        <v>1</v>
      </c>
    </row>
    <row r="101" ht="52" customHeight="1">
      <c r="A101" s="6" t="inlineStr">
        <is>
          <t>Churel</t>
        </is>
      </c>
      <c r="B101" s="6" t="inlineStr">
        <is>
          <t>churel_south_asia</t>
        </is>
      </c>
      <c r="C101" s="6" t="inlineStr">
        <is>
          <t>South Asia (Outgroup)</t>
        </is>
      </c>
      <c r="D101" s="6" t="inlineStr">
        <is>
          <t>South Asian — outgroup comparator</t>
        </is>
      </c>
      <c r="E101" s="6" t="inlineStr">
        <is>
          <t>Vengeful Female</t>
        </is>
      </c>
      <c r="F101" s="6" t="inlineStr">
        <is>
          <t>Spectral female (feet turned backwards)</t>
        </is>
      </c>
      <c r="G101" s="6" t="inlineStr">
        <is>
          <t>Blood / life force</t>
        </is>
      </c>
      <c r="H101" s="6" t="n">
        <v>4</v>
      </c>
      <c r="I101" s="6" t="inlineStr">
        <is>
          <t>Woman who died in childbirth / by injustice in South Asian lore; cognate motif to Kuntilanak.</t>
        </is>
      </c>
      <c r="J101" s="6" t="inlineStr">
        <is>
          <t>Spectral female (feet turned backwards). Coded features are in the trait matrix.</t>
        </is>
      </c>
      <c r="K101" s="6" t="inlineStr">
        <is>
          <t>Seduces and drains young men; haunts burial and liminal places.</t>
        </is>
      </c>
      <c r="L101" s="6" t="inlineStr">
        <is>
          <t>Iron, burial with thorns / rites in folk accounts.</t>
        </is>
      </c>
      <c r="M101" s="6" t="inlineStr">
        <is>
          <t>Comparative expansion entry added in v3 from widely retold Indonesian / Southeast Asian folklore motifs; portrayals vary by region and medium.</t>
        </is>
      </c>
      <c r="N101" s="6" t="inlineStr">
        <is>
          <t>Outgroup</t>
        </is>
      </c>
      <c r="O101" s="6" t="inlineStr">
        <is>
          <t>No — incertae sedis / not yet sampled</t>
        </is>
      </c>
      <c r="P101" s="6" t="inlineStr">
        <is>
          <t>YES — new v3 entry, coded by folklore synthesis (not in source files)</t>
        </is>
      </c>
      <c r="Q101" s="6" t="n">
        <v>1</v>
      </c>
      <c r="R101" s="6" t="n">
        <v>1</v>
      </c>
      <c r="S101" s="6" t="n">
        <v>1</v>
      </c>
      <c r="T101" s="6" t="n">
        <v>0</v>
      </c>
      <c r="U101" s="6" t="n">
        <v>1</v>
      </c>
      <c r="V101" s="6" t="n">
        <v>0</v>
      </c>
      <c r="W101" s="6" t="n">
        <v>1</v>
      </c>
      <c r="X101" s="6" t="n">
        <v>1</v>
      </c>
      <c r="Y101" s="6" t="n">
        <v>1</v>
      </c>
      <c r="Z101" s="6" t="n">
        <v>0</v>
      </c>
      <c r="AA101" s="6" t="n">
        <v>0</v>
      </c>
      <c r="AB101" s="6" t="n">
        <v>0</v>
      </c>
      <c r="AC101" s="6" t="n">
        <v>0</v>
      </c>
      <c r="AD101" s="6" t="n">
        <v>0</v>
      </c>
      <c r="AE101" s="6" t="n">
        <v>0</v>
      </c>
      <c r="AF101" s="6" t="n">
        <v>1</v>
      </c>
      <c r="AG101" s="6" t="n">
        <v>0</v>
      </c>
      <c r="AH101" s="6" t="n">
        <v>1</v>
      </c>
    </row>
    <row r="102" ht="52" customHeight="1">
      <c r="A102" s="5" t="inlineStr">
        <is>
          <t>Aul</t>
        </is>
      </c>
      <c r="B102" s="5" t="inlineStr">
        <is>
          <t>aul_kalimantan_indonesia</t>
        </is>
      </c>
      <c r="C102" s="5" t="inlineStr">
        <is>
          <t>Kalimantan</t>
        </is>
      </c>
      <c r="D102" s="5" t="inlineStr">
        <is>
          <t>Dayak / Malay (Kalimantan)</t>
        </is>
      </c>
      <c r="E102" s="5" t="inlineStr">
        <is>
          <t>Hominid Cryptid</t>
        </is>
      </c>
      <c r="F102" s="5" t="inlineStr">
        <is>
          <t>Headless dog-like / humanoid cryptid</t>
        </is>
      </c>
      <c r="G102" s="5" t="inlineStr">
        <is>
          <t>Flesh</t>
        </is>
      </c>
      <c r="H102" s="5" t="n">
        <v>3</v>
      </c>
      <c r="I102" s="5" t="inlineStr">
        <is>
          <t>Headless being of Kalimantan forest lore, said to carry its head.</t>
        </is>
      </c>
      <c r="J102" s="5" t="inlineStr">
        <is>
          <t>Headless dog-like / humanoid cryptid. Coded features are in the trait matrix.</t>
        </is>
      </c>
      <c r="K102" s="5" t="inlineStr">
        <is>
          <t>Roams forest paths at night.</t>
        </is>
      </c>
      <c r="L102" s="5" t="inlineStr">
        <is>
          <t>Avoidance; prayers.</t>
        </is>
      </c>
      <c r="M102" s="5" t="inlineStr">
        <is>
          <t>Comparative expansion entry added in v3 from widely retold Indonesian / Southeast Asian folklore motifs; portrayals vary by region and medium.</t>
        </is>
      </c>
      <c r="N102" s="5" t="inlineStr">
        <is>
          <t>Ingroup</t>
        </is>
      </c>
      <c r="O102" s="5" t="inlineStr">
        <is>
          <t>No — incertae sedis / not yet sampled</t>
        </is>
      </c>
      <c r="P102" s="5" t="inlineStr">
        <is>
          <t>YES — new v3 entry, coded by folklore synthesis (not in source files)</t>
        </is>
      </c>
      <c r="Q102" s="5" t="n">
        <v>1</v>
      </c>
      <c r="R102" s="5" t="n">
        <v>2</v>
      </c>
      <c r="S102" s="5" t="n">
        <v>0</v>
      </c>
      <c r="T102" s="5" t="n">
        <v>1</v>
      </c>
      <c r="U102" s="5" t="n">
        <v>0</v>
      </c>
      <c r="V102" s="5" t="n">
        <v>0</v>
      </c>
      <c r="W102" s="5" t="n">
        <v>0</v>
      </c>
      <c r="X102" s="5" t="n">
        <v>0</v>
      </c>
      <c r="Y102" s="5" t="n">
        <v>1</v>
      </c>
      <c r="Z102" s="5" t="n">
        <v>1</v>
      </c>
      <c r="AA102" s="5" t="n">
        <v>0</v>
      </c>
      <c r="AB102" s="5" t="n">
        <v>0</v>
      </c>
      <c r="AC102" s="5" t="n">
        <v>0</v>
      </c>
      <c r="AD102" s="5" t="n">
        <v>1</v>
      </c>
      <c r="AE102" s="5" t="n">
        <v>0</v>
      </c>
      <c r="AF102" s="5" t="n">
        <v>0</v>
      </c>
      <c r="AG102" s="5" t="n">
        <v>0</v>
      </c>
      <c r="AH102" s="5" t="n">
        <v>0</v>
      </c>
    </row>
    <row r="103" ht="52" customHeight="1">
      <c r="A103" s="6" t="inlineStr">
        <is>
          <t>Lelembut</t>
        </is>
      </c>
      <c r="B103" s="6" t="inlineStr">
        <is>
          <t>lelembut_java_indonesia</t>
        </is>
      </c>
      <c r="C103" s="6" t="inlineStr">
        <is>
          <t>Java</t>
        </is>
      </c>
      <c r="D103" s="6" t="inlineStr">
        <is>
          <t>Javanese</t>
        </is>
      </c>
      <c r="E103" s="6" t="inlineStr">
        <is>
          <t>Elemental / Demonic</t>
        </is>
      </c>
      <c r="F103" s="6" t="inlineStr">
        <is>
          <t>Fine / subtle spirit (lembut = refined)</t>
        </is>
      </c>
      <c r="G103" s="6" t="inlineStr">
        <is>
          <t>Non-consumptive</t>
        </is>
      </c>
      <c r="H103" s="6" t="n">
        <v>2</v>
      </c>
      <c r="I103" s="6" t="inlineStr">
        <is>
          <t>Class of subtle Javanese spirits, often invisible, associated with refined places.</t>
        </is>
      </c>
      <c r="J103" s="6" t="inlineStr">
        <is>
          <t>Fine / subtle spirit (lembut = refined). Coded features are in the trait matrix.</t>
        </is>
      </c>
      <c r="K103" s="6" t="inlineStr">
        <is>
          <t>Possesses or influences people quietly in kejawen lore.</t>
        </is>
      </c>
      <c r="L103" s="6" t="inlineStr">
        <is>
          <t>Ritual counsel (dukun / kyai).</t>
        </is>
      </c>
      <c r="M103" s="6" t="inlineStr">
        <is>
          <t>Comparative expansion entry added in v3 from widely retold Indonesian / Southeast Asian folklore motifs; portrayals vary by region and medium.</t>
        </is>
      </c>
      <c r="N103" s="6" t="inlineStr">
        <is>
          <t>Ingroup</t>
        </is>
      </c>
      <c r="O103" s="6" t="inlineStr">
        <is>
          <t>No — incertae sedis / not yet sampled</t>
        </is>
      </c>
      <c r="P103" s="6" t="inlineStr">
        <is>
          <t>YES — new v3 entry, coded by folklore synthesis (not in source files)</t>
        </is>
      </c>
      <c r="Q103" s="6" t="n">
        <v>1</v>
      </c>
      <c r="R103" s="6" t="n">
        <v>2</v>
      </c>
      <c r="S103" s="6" t="n">
        <v>0</v>
      </c>
      <c r="T103" s="6" t="n">
        <v>1</v>
      </c>
      <c r="U103" s="6" t="n">
        <v>0</v>
      </c>
      <c r="V103" s="6" t="n">
        <v>0</v>
      </c>
      <c r="W103" s="6" t="n">
        <v>0</v>
      </c>
      <c r="X103" s="6" t="n">
        <v>0</v>
      </c>
      <c r="Y103" s="6" t="n">
        <v>0</v>
      </c>
      <c r="Z103" s="6" t="n">
        <v>0</v>
      </c>
      <c r="AA103" s="6" t="n">
        <v>0</v>
      </c>
      <c r="AB103" s="6" t="n">
        <v>0</v>
      </c>
      <c r="AC103" s="6" t="n">
        <v>0</v>
      </c>
      <c r="AD103" s="6" t="n">
        <v>0</v>
      </c>
      <c r="AE103" s="6" t="n">
        <v>0</v>
      </c>
      <c r="AF103" s="6" t="n">
        <v>1</v>
      </c>
      <c r="AG103" s="6" t="n">
        <v>1</v>
      </c>
      <c r="AH103" s="6" t="n">
        <v>1</v>
      </c>
    </row>
    <row r="104" ht="52" customHeight="1">
      <c r="A104" s="5" t="inlineStr">
        <is>
          <t>Siluman</t>
        </is>
      </c>
      <c r="B104" s="5" t="inlineStr">
        <is>
          <t>siluman_indonesian_archipelago</t>
        </is>
      </c>
      <c r="C104" s="5" t="inlineStr">
        <is>
          <t>Indonesian Archipelago (widespread)</t>
        </is>
      </c>
      <c r="D104" s="5" t="inlineStr">
        <is>
          <t>Multi-ethnic</t>
        </is>
      </c>
      <c r="E104" s="5" t="inlineStr">
        <is>
          <t>Therianthrope / Shapeshifter</t>
        </is>
      </c>
      <c r="F104" s="5" t="inlineStr">
        <is>
          <t>Animal–human transformed being</t>
        </is>
      </c>
      <c r="G104" s="5" t="inlineStr">
        <is>
          <t>Flesh</t>
        </is>
      </c>
      <c r="H104" s="5" t="n">
        <v>3</v>
      </c>
      <c r="I104" s="5" t="inlineStr">
        <is>
          <t>Generic term for a transformed being / were-creature across Indonesian lore.</t>
        </is>
      </c>
      <c r="J104" s="5" t="inlineStr">
        <is>
          <t>Animal–human transformed being. Coded features are in the trait matrix.</t>
        </is>
      </c>
      <c r="K104" s="5" t="inlineStr">
        <is>
          <t>Lives hidden among humans in animal or human form.</t>
        </is>
      </c>
      <c r="L104" s="5" t="inlineStr">
        <is>
          <t>Exposure of the transformation secret.</t>
        </is>
      </c>
      <c r="M104" s="5" t="inlineStr">
        <is>
          <t>Comparative expansion entry added in v3 from widely retold Indonesian / Southeast Asian folklore motifs; portrayals vary by region and medium.</t>
        </is>
      </c>
      <c r="N104" s="5" t="inlineStr">
        <is>
          <t>Ingroup</t>
        </is>
      </c>
      <c r="O104" s="5" t="inlineStr">
        <is>
          <t>No — incertae sedis / not yet sampled</t>
        </is>
      </c>
      <c r="P104" s="5" t="inlineStr">
        <is>
          <t>YES — new v3 entry, coded by folklore synthesis (not in source files)</t>
        </is>
      </c>
      <c r="Q104" s="5" t="n">
        <v>1</v>
      </c>
      <c r="R104" s="5" t="n">
        <v>2</v>
      </c>
      <c r="S104" s="5" t="n">
        <v>0</v>
      </c>
      <c r="T104" s="5" t="n">
        <v>1</v>
      </c>
      <c r="U104" s="5" t="n">
        <v>0</v>
      </c>
      <c r="V104" s="5" t="n">
        <v>0</v>
      </c>
      <c r="W104" s="5" t="n">
        <v>0</v>
      </c>
      <c r="X104" s="5" t="n">
        <v>0</v>
      </c>
      <c r="Y104" s="5" t="n">
        <v>1</v>
      </c>
      <c r="Z104" s="5" t="n">
        <v>0</v>
      </c>
      <c r="AA104" s="5" t="n">
        <v>1</v>
      </c>
      <c r="AB104" s="5" t="n">
        <v>0</v>
      </c>
      <c r="AC104" s="5" t="n">
        <v>0</v>
      </c>
      <c r="AD104" s="5" t="n">
        <v>1</v>
      </c>
      <c r="AE104" s="5" t="n">
        <v>0</v>
      </c>
      <c r="AF104" s="5" t="n">
        <v>0</v>
      </c>
      <c r="AG104" s="5" t="n">
        <v>0</v>
      </c>
      <c r="AH104" s="5" t="n">
        <v>1</v>
      </c>
    </row>
    <row r="105" ht="52" customHeight="1">
      <c r="A105" s="6" t="inlineStr">
        <is>
          <t>Dedemit</t>
        </is>
      </c>
      <c r="B105" s="6" t="inlineStr">
        <is>
          <t>dedemit_java_indonesia</t>
        </is>
      </c>
      <c r="C105" s="6" t="inlineStr">
        <is>
          <t>Java</t>
        </is>
      </c>
      <c r="D105" s="6" t="inlineStr">
        <is>
          <t>Javanese</t>
        </is>
      </c>
      <c r="E105" s="6" t="inlineStr">
        <is>
          <t>Nature / Ancestral Spirit</t>
        </is>
      </c>
      <c r="F105" s="6" t="inlineStr">
        <is>
          <t>Place guardian demon-spirit</t>
        </is>
      </c>
      <c r="G105" s="6" t="inlineStr">
        <is>
          <t>Non-consumptive</t>
        </is>
      </c>
      <c r="H105" s="6" t="n">
        <v>3</v>
      </c>
      <c r="I105" s="6" t="inlineStr">
        <is>
          <t>Guardian spirit of wild / empty places (alas) in Javanese lore.</t>
        </is>
      </c>
      <c r="J105" s="6" t="inlineStr">
        <is>
          <t>Place guardian demon-spirit. Coded features are in the trait matrix.</t>
        </is>
      </c>
      <c r="K105" s="6" t="inlineStr">
        <is>
          <t>Demands respect and offerings from those who clear land.</t>
        </is>
      </c>
      <c r="L105" s="6" t="inlineStr">
        <is>
          <t>Permission ritual before clearing forest.</t>
        </is>
      </c>
      <c r="M105" s="6" t="inlineStr">
        <is>
          <t>Comparative expansion entry added in v3 from widely retold Indonesian / Southeast Asian folklore motifs; portrayals vary by region and medium.</t>
        </is>
      </c>
      <c r="N105" s="6" t="inlineStr">
        <is>
          <t>Ingroup</t>
        </is>
      </c>
      <c r="O105" s="6" t="inlineStr">
        <is>
          <t>No — incertae sedis / not yet sampled</t>
        </is>
      </c>
      <c r="P105" s="6" t="inlineStr">
        <is>
          <t>YES — new v3 entry, coded by folklore synthesis (not in source files)</t>
        </is>
      </c>
      <c r="Q105" s="6" t="n">
        <v>1</v>
      </c>
      <c r="R105" s="6" t="n">
        <v>2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0</v>
      </c>
      <c r="X105" s="6" t="n">
        <v>0</v>
      </c>
      <c r="Y105" s="6" t="n">
        <v>0</v>
      </c>
      <c r="Z105" s="6" t="n">
        <v>0</v>
      </c>
      <c r="AA105" s="6" t="n">
        <v>0</v>
      </c>
      <c r="AB105" s="6" t="n">
        <v>0</v>
      </c>
      <c r="AC105" s="6" t="n">
        <v>0</v>
      </c>
      <c r="AD105" s="6" t="n">
        <v>1</v>
      </c>
      <c r="AE105" s="6" t="n">
        <v>0</v>
      </c>
      <c r="AF105" s="6" t="n">
        <v>1</v>
      </c>
      <c r="AG105" s="6" t="n">
        <v>0</v>
      </c>
      <c r="AH105" s="6" t="n">
        <v>0</v>
      </c>
    </row>
    <row r="106" ht="52" customHeight="1">
      <c r="A106" s="5" t="inlineStr">
        <is>
          <t>Hantu Penunggu</t>
        </is>
      </c>
      <c r="B106" s="5" t="inlineStr">
        <is>
          <t>hantu_penunggu_indonesia</t>
        </is>
      </c>
      <c r="C106" s="5" t="inlineStr">
        <is>
          <t>Indonesian Archipelago (widespread)</t>
        </is>
      </c>
      <c r="D106" s="5" t="inlineStr">
        <is>
          <t>Multi-ethnic</t>
        </is>
      </c>
      <c r="E106" s="5" t="inlineStr">
        <is>
          <t>Nature / Ancestral Spirit</t>
        </is>
      </c>
      <c r="F106" s="5" t="inlineStr">
        <is>
          <t>Guardian spirit of a place / building</t>
        </is>
      </c>
      <c r="G106" s="5" t="inlineStr">
        <is>
          <t>Non-consumptive</t>
        </is>
      </c>
      <c r="H106" s="5" t="n">
        <v>2</v>
      </c>
      <c r="I106" s="5" t="inlineStr">
        <is>
          <t>Generic 'waiting / guarding' ghost (penunggu) of houses, trees, bridges and sites.</t>
        </is>
      </c>
      <c r="J106" s="5" t="inlineStr">
        <is>
          <t>Guardian spirit of a place / building. Coded features are in the trait matrix.</t>
        </is>
      </c>
      <c r="K106" s="5" t="inlineStr">
        <is>
          <t>Makes its presence felt when its place is disturbed.</t>
        </is>
      </c>
      <c r="L106" s="5" t="inlineStr">
        <is>
          <t>Offerings and respectful conduct.</t>
        </is>
      </c>
      <c r="M106" s="5" t="inlineStr">
        <is>
          <t>Comparative expansion entry added in v3 from widely retold Indonesian / Southeast Asian folklore motifs; portrayals vary by region and medium.</t>
        </is>
      </c>
      <c r="N106" s="5" t="inlineStr">
        <is>
          <t>Ingroup</t>
        </is>
      </c>
      <c r="O106" s="5" t="inlineStr">
        <is>
          <t>No — incertae sedis / not yet sampled</t>
        </is>
      </c>
      <c r="P106" s="5" t="inlineStr">
        <is>
          <t>YES — new v3 entry, coded by folklore synthesis (not in source files)</t>
        </is>
      </c>
      <c r="Q106" s="5" t="n">
        <v>1</v>
      </c>
      <c r="R106" s="5" t="n">
        <v>2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1</v>
      </c>
      <c r="AE106" s="5" t="n">
        <v>0</v>
      </c>
      <c r="AF106" s="5" t="n">
        <v>1</v>
      </c>
      <c r="AG106" s="5" t="n">
        <v>0</v>
      </c>
      <c r="AH106" s="5" t="n">
        <v>0</v>
      </c>
    </row>
    <row r="107" ht="52" customHeight="1">
      <c r="A107" s="6" t="inlineStr">
        <is>
          <t>Matianak</t>
        </is>
      </c>
      <c r="B107" s="6" t="inlineStr">
        <is>
          <t>matianak_kalimantan_indonesia</t>
        </is>
      </c>
      <c r="C107" s="6" t="inlineStr">
        <is>
          <t>Kalimantan</t>
        </is>
      </c>
      <c r="D107" s="6" t="inlineStr">
        <is>
          <t>Malay / Dayak (Kalimantan)</t>
        </is>
      </c>
      <c r="E107" s="6" t="inlineStr">
        <is>
          <t>Vengeful Female</t>
        </is>
      </c>
      <c r="F107" s="6" t="inlineStr">
        <is>
          <t>Spectral female</t>
        </is>
      </c>
      <c r="G107" s="6" t="inlineStr">
        <is>
          <t>Blood / fetuses</t>
        </is>
      </c>
      <c r="H107" s="6" t="n">
        <v>5</v>
      </c>
      <c r="I107" s="6" t="inlineStr">
        <is>
          <t>Kalimantan name / cognate for the childbirth-death ghost (mati anak = died in childbirth).</t>
        </is>
      </c>
      <c r="J107" s="6" t="inlineStr">
        <is>
          <t>Spectral female. Coded features are in the trait matrix.</t>
        </is>
      </c>
      <c r="K107" s="6" t="inlineStr">
        <is>
          <t>Haunts trees and riversides; attacks pregnant women and men.</t>
        </is>
      </c>
      <c r="L107" s="6" t="inlineStr">
        <is>
          <t>Prayers; protective iron in folk lore.</t>
        </is>
      </c>
      <c r="M107" s="6" t="inlineStr">
        <is>
          <t>Comparative expansion entry added in v3 from widely retold Indonesian / Southeast Asian folklore motifs; portrayals vary by region and medium.</t>
        </is>
      </c>
      <c r="N107" s="6" t="inlineStr">
        <is>
          <t>Ingroup</t>
        </is>
      </c>
      <c r="O107" s="6" t="inlineStr">
        <is>
          <t>No — incertae sedis / not yet sampled</t>
        </is>
      </c>
      <c r="P107" s="6" t="inlineStr">
        <is>
          <t>YES — new v3 entry, coded by folklore synthesis (not in source files)</t>
        </is>
      </c>
      <c r="Q107" s="6" t="n">
        <v>1</v>
      </c>
      <c r="R107" s="6" t="n">
        <v>1</v>
      </c>
      <c r="S107" s="6" t="n">
        <v>1</v>
      </c>
      <c r="T107" s="6" t="n">
        <v>0</v>
      </c>
      <c r="U107" s="6" t="n">
        <v>1</v>
      </c>
      <c r="V107" s="6" t="n">
        <v>0</v>
      </c>
      <c r="W107" s="6" t="n">
        <v>1</v>
      </c>
      <c r="X107" s="6" t="n">
        <v>1</v>
      </c>
      <c r="Y107" s="6" t="n">
        <v>1</v>
      </c>
      <c r="Z107" s="6" t="n">
        <v>0</v>
      </c>
      <c r="AA107" s="6" t="n">
        <v>0</v>
      </c>
      <c r="AB107" s="6" t="n">
        <v>0</v>
      </c>
      <c r="AC107" s="6" t="n">
        <v>0</v>
      </c>
      <c r="AD107" s="6" t="n">
        <v>0</v>
      </c>
      <c r="AE107" s="6" t="n">
        <v>0</v>
      </c>
      <c r="AF107" s="6" t="n">
        <v>1</v>
      </c>
      <c r="AG107" s="6" t="n">
        <v>1</v>
      </c>
      <c r="AH107" s="6" t="n">
        <v>0</v>
      </c>
    </row>
    <row r="108" ht="52" customHeight="1">
      <c r="A108" s="5" t="inlineStr">
        <is>
          <t>Pocong Gundul</t>
        </is>
      </c>
      <c r="B108" s="5" t="inlineStr">
        <is>
          <t>pocong_gundul_java_indonesia</t>
        </is>
      </c>
      <c r="C108" s="5" t="inlineStr">
        <is>
          <t>Java</t>
        </is>
      </c>
      <c r="D108" s="5" t="inlineStr">
        <is>
          <t>Javanese (film-popularised)</t>
        </is>
      </c>
      <c r="E108" s="5" t="inlineStr">
        <is>
          <t>Undead / Revenant</t>
        </is>
      </c>
      <c r="F108" s="5" t="inlineStr">
        <is>
          <t>Shrouded corpse (bald / exposed head)</t>
        </is>
      </c>
      <c r="G108" s="5" t="inlineStr">
        <is>
          <t>Non-consumptive</t>
        </is>
      </c>
      <c r="H108" s="5" t="n">
        <v>4</v>
      </c>
      <c r="I108" s="5" t="inlineStr">
        <is>
          <t>Bald-headed pocong variant popularised by contemporary Indonesian horror film.</t>
        </is>
      </c>
      <c r="J108" s="5" t="inlineStr">
        <is>
          <t>Shrouded corpse (bald / exposed head). Coded features are in the trait matrix.</t>
        </is>
      </c>
      <c r="K108" s="5" t="inlineStr">
        <is>
          <t>Hops and pursues victims from a haunted school / site in film lore.</t>
        </is>
      </c>
      <c r="L108" s="5" t="inlineStr">
        <is>
          <t>Untying the shroud; prayers.</t>
        </is>
      </c>
      <c r="M108" s="5" t="inlineStr">
        <is>
          <t>Comparative expansion entry added in v3 from widely retold Indonesian / Southeast Asian folklore motifs; portrayals vary by region and medium.</t>
        </is>
      </c>
      <c r="N108" s="5" t="inlineStr">
        <is>
          <t>Ingroup</t>
        </is>
      </c>
      <c r="O108" s="5" t="inlineStr">
        <is>
          <t>No — incertae sedis / not yet sampled</t>
        </is>
      </c>
      <c r="P108" s="5" t="inlineStr">
        <is>
          <t>YES — new v3 entry, coded by folklore synthesis (not in source files)</t>
        </is>
      </c>
      <c r="Q108" s="5" t="n">
        <v>1</v>
      </c>
      <c r="R108" s="5" t="n">
        <v>2</v>
      </c>
      <c r="S108" s="5" t="n">
        <v>1</v>
      </c>
      <c r="T108" s="5" t="n">
        <v>1</v>
      </c>
      <c r="U108" s="5" t="n">
        <v>1</v>
      </c>
      <c r="V108" s="5" t="n">
        <v>0</v>
      </c>
      <c r="W108" s="5" t="n">
        <v>0</v>
      </c>
      <c r="X108" s="5" t="n">
        <v>0</v>
      </c>
      <c r="Y108" s="5" t="n">
        <v>0</v>
      </c>
      <c r="Z108" s="5" t="n">
        <v>0</v>
      </c>
      <c r="AA108" s="5" t="n">
        <v>0</v>
      </c>
      <c r="AB108" s="5" t="n">
        <v>0</v>
      </c>
      <c r="AC108" s="5" t="n">
        <v>0</v>
      </c>
      <c r="AD108" s="5" t="n">
        <v>0</v>
      </c>
      <c r="AE108" s="5" t="n">
        <v>0</v>
      </c>
      <c r="AF108" s="5" t="n">
        <v>1</v>
      </c>
      <c r="AG108" s="5" t="n">
        <v>0</v>
      </c>
      <c r="AH108" s="5" t="n">
        <v>1</v>
      </c>
    </row>
    <row r="109" ht="52" customHeight="1">
      <c r="A109" s="6" t="inlineStr">
        <is>
          <t>Hantu Pusako</t>
        </is>
      </c>
      <c r="B109" s="6" t="inlineStr">
        <is>
          <t>hantu_pusako_sumatra_indonesia</t>
        </is>
      </c>
      <c r="C109" s="6" t="inlineStr">
        <is>
          <t>Sumatra</t>
        </is>
      </c>
      <c r="D109" s="6" t="inlineStr">
        <is>
          <t>Minangkabau</t>
        </is>
      </c>
      <c r="E109" s="6" t="inlineStr">
        <is>
          <t>Nature / Ancestral Spirit</t>
        </is>
      </c>
      <c r="F109" s="6" t="inlineStr">
        <is>
          <t>Heirloom (pusako) guardian spirit</t>
        </is>
      </c>
      <c r="G109" s="6" t="inlineStr">
        <is>
          <t>Non-consumptive</t>
        </is>
      </c>
      <c r="H109" s="6" t="n">
        <v>2</v>
      </c>
      <c r="I109" s="6" t="inlineStr">
        <is>
          <t>Guardian tied to Minangkabau ancestral heirloom property and houses (rumah gadang).</t>
        </is>
      </c>
      <c r="J109" s="6" t="inlineStr">
        <is>
          <t>Heirloom (pusako) guardian spirit. Coded features are in the trait matrix.</t>
        </is>
      </c>
      <c r="K109" s="6" t="inlineStr">
        <is>
          <t>Punishes those who wrongfully sell or divide pusako land.</t>
        </is>
      </c>
      <c r="L109" s="6" t="inlineStr">
        <is>
          <t>Adat mediation and offerings.</t>
        </is>
      </c>
      <c r="M109" s="6" t="inlineStr">
        <is>
          <t>Comparative expansion entry added in v3 from widely retold Indonesian / Southeast Asian folklore motifs; portrayals vary by region and medium.</t>
        </is>
      </c>
      <c r="N109" s="6" t="inlineStr">
        <is>
          <t>Ingroup</t>
        </is>
      </c>
      <c r="O109" s="6" t="inlineStr">
        <is>
          <t>No — incertae sedis / not yet sampled</t>
        </is>
      </c>
      <c r="P109" s="6" t="inlineStr">
        <is>
          <t>YES — new v3 entry, coded by folklore synthesis (not in source files)</t>
        </is>
      </c>
      <c r="Q109" s="6" t="n">
        <v>1</v>
      </c>
      <c r="R109" s="6" t="n">
        <v>2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0</v>
      </c>
      <c r="AB109" s="6" t="n">
        <v>0</v>
      </c>
      <c r="AC109" s="6" t="n">
        <v>0</v>
      </c>
      <c r="AD109" s="6" t="n">
        <v>1</v>
      </c>
      <c r="AE109" s="6" t="n">
        <v>0</v>
      </c>
      <c r="AF109" s="6" t="n">
        <v>1</v>
      </c>
      <c r="AG109" s="6" t="n">
        <v>0</v>
      </c>
      <c r="AH109" s="6" t="n">
        <v>0</v>
      </c>
    </row>
    <row r="110" ht="52" customHeight="1">
      <c r="A110" s="5" t="inlineStr">
        <is>
          <t>Kambe</t>
        </is>
      </c>
      <c r="B110" s="5" t="inlineStr">
        <is>
          <t>kambe_sulawesi_indonesia</t>
        </is>
      </c>
      <c r="C110" s="5" t="inlineStr">
        <is>
          <t>Sulawesi</t>
        </is>
      </c>
      <c r="D110" s="5" t="inlineStr">
        <is>
          <t>Toraja / Mamasa</t>
        </is>
      </c>
      <c r="E110" s="5" t="inlineStr">
        <is>
          <t>Hominid Cryptid</t>
        </is>
      </c>
      <c r="F110" s="5" t="inlineStr">
        <is>
          <t>Wild hairy humanoid</t>
        </is>
      </c>
      <c r="G110" s="5" t="inlineStr">
        <is>
          <t>Unknown</t>
        </is>
      </c>
      <c r="H110" s="5" t="n">
        <v>3</v>
      </c>
      <c r="I110" s="5" t="inlineStr">
        <is>
          <t>Wild man / hairy humanoid of West Sulawesi highland lore.</t>
        </is>
      </c>
      <c r="J110" s="5" t="inlineStr">
        <is>
          <t>Wild hairy humanoid. Coded features are in the trait matrix.</t>
        </is>
      </c>
      <c r="K110" s="5" t="inlineStr">
        <is>
          <t>Shy, avoids villages; raids gardens in some accounts.</t>
        </is>
      </c>
      <c r="L110" s="5" t="inlineStr">
        <is>
          <t>None specific — biological entity in witness accounts.</t>
        </is>
      </c>
      <c r="M110" s="5" t="inlineStr">
        <is>
          <t>Comparative expansion entry added in v3 from widely retold Indonesian / Southeast Asian folklore motifs; portrayals vary by region and medium.</t>
        </is>
      </c>
      <c r="N110" s="5" t="inlineStr">
        <is>
          <t>Ingroup</t>
        </is>
      </c>
      <c r="O110" s="5" t="inlineStr">
        <is>
          <t>No — incertae sedis / not yet sampled</t>
        </is>
      </c>
      <c r="P110" s="5" t="inlineStr">
        <is>
          <t>YES — new v3 entry, coded by folklore synthesis (not in source files)</t>
        </is>
      </c>
      <c r="Q110" s="5" t="n">
        <v>1</v>
      </c>
      <c r="R110" s="5" t="n">
        <v>2</v>
      </c>
      <c r="S110" s="5" t="n">
        <v>0</v>
      </c>
      <c r="T110" s="5" t="n">
        <v>0</v>
      </c>
      <c r="U110" s="5" t="n">
        <v>0</v>
      </c>
      <c r="V110" s="5" t="n">
        <v>0</v>
      </c>
      <c r="W110" s="5" t="n">
        <v>0</v>
      </c>
      <c r="X110" s="5" t="n">
        <v>0</v>
      </c>
      <c r="Y110" s="5" t="n">
        <v>1</v>
      </c>
      <c r="Z110" s="5" t="n">
        <v>1</v>
      </c>
      <c r="AA110" s="5" t="n">
        <v>0</v>
      </c>
      <c r="AB110" s="5" t="n">
        <v>0</v>
      </c>
      <c r="AC110" s="5" t="n">
        <v>0</v>
      </c>
      <c r="AD110" s="5" t="n">
        <v>1</v>
      </c>
      <c r="AE110" s="5" t="n">
        <v>0</v>
      </c>
      <c r="AF110" s="5" t="n">
        <v>0</v>
      </c>
      <c r="AG110" s="5" t="n">
        <v>0</v>
      </c>
      <c r="AH110" s="5" t="n">
        <v>0</v>
      </c>
    </row>
    <row r="111" ht="52" customHeight="1">
      <c r="A111" s="6" t="inlineStr">
        <is>
          <t>Orang Gigi</t>
        </is>
      </c>
      <c r="B111" s="6" t="inlineStr">
        <is>
          <t>orang_gigi_sumatra_indonesia</t>
        </is>
      </c>
      <c r="C111" s="6" t="inlineStr">
        <is>
          <t>Sumatra</t>
        </is>
      </c>
      <c r="D111" s="6" t="inlineStr">
        <is>
          <t>Malay / Batak (Sumatra)</t>
        </is>
      </c>
      <c r="E111" s="6" t="inlineStr">
        <is>
          <t>Hominid Cryptid</t>
        </is>
      </c>
      <c r="F111" s="6" t="inlineStr">
        <is>
          <t>Bipedal humanoid noted for teeth</t>
        </is>
      </c>
      <c r="G111" s="6" t="inlineStr">
        <is>
          <t>Omnivore</t>
        </is>
      </c>
      <c r="H111" s="6" t="n">
        <v>3</v>
      </c>
      <c r="I111" s="6" t="inlineStr">
        <is>
          <t>Forest humanoid in Sumatran local lore, grouped here as a regional cryptid report.</t>
        </is>
      </c>
      <c r="J111" s="6" t="inlineStr">
        <is>
          <t>Bipedal humanoid noted for teeth. Coded features are in the trait matrix.</t>
        </is>
      </c>
      <c r="K111" s="6" t="inlineStr">
        <is>
          <t>Avoids humans; leaves tracks near rivers.</t>
        </is>
      </c>
      <c r="L111" s="6" t="inlineStr">
        <is>
          <t>None specific.</t>
        </is>
      </c>
      <c r="M111" s="6" t="inlineStr">
        <is>
          <t>Comparative expansion entry added in v3 from widely retold Indonesian / Southeast Asian folklore motifs; portrayals vary by region and medium.</t>
        </is>
      </c>
      <c r="N111" s="6" t="inlineStr">
        <is>
          <t>Ingroup</t>
        </is>
      </c>
      <c r="O111" s="6" t="inlineStr">
        <is>
          <t>No — incertae sedis / not yet sampled</t>
        </is>
      </c>
      <c r="P111" s="6" t="inlineStr">
        <is>
          <t>YES — new v3 entry, coded by folklore synthesis (not in source files)</t>
        </is>
      </c>
      <c r="Q111" s="6" t="n">
        <v>1</v>
      </c>
      <c r="R111" s="6" t="n">
        <v>2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0</v>
      </c>
      <c r="X111" s="6" t="n">
        <v>0</v>
      </c>
      <c r="Y111" s="6" t="n">
        <v>1</v>
      </c>
      <c r="Z111" s="6" t="n">
        <v>1</v>
      </c>
      <c r="AA111" s="6" t="n">
        <v>0</v>
      </c>
      <c r="AB111" s="6" t="n">
        <v>0</v>
      </c>
      <c r="AC111" s="6" t="n">
        <v>0</v>
      </c>
      <c r="AD111" s="6" t="n">
        <v>1</v>
      </c>
      <c r="AE111" s="6" t="n">
        <v>0</v>
      </c>
      <c r="AF111" s="6" t="n">
        <v>0</v>
      </c>
      <c r="AG111" s="6" t="n">
        <v>0</v>
      </c>
      <c r="AH111" s="6" t="n">
        <v>0</v>
      </c>
    </row>
  </sheetData>
  <autoFilter ref="A1:AH1"/>
  <conditionalFormatting sqref="H2:H111">
    <cfRule type="colorScale" priority="1">
      <colorScale>
        <cfvo type="num" val="1"/>
        <cfvo type="num" val="5"/>
        <color rgb="00FCE8A6"/>
        <color rgb="00C0392B"/>
      </colorScale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34" customHeight="1">
      <c r="A1" s="4" t="inlineStr">
        <is>
          <t>Name</t>
        </is>
      </c>
      <c r="B1" s="4" t="inlineStr">
        <is>
          <t>Taxon_ID</t>
        </is>
      </c>
      <c r="C1" s="4" t="inlineStr">
        <is>
          <t>Clade</t>
        </is>
      </c>
      <c r="D1" s="4" t="inlineStr">
        <is>
          <t>domain_human_like</t>
        </is>
      </c>
      <c r="E1" s="4" t="inlineStr">
        <is>
          <t>sex</t>
        </is>
      </c>
      <c r="F1" s="4" t="inlineStr">
        <is>
          <t>origin_death_birth</t>
        </is>
      </c>
      <c r="G1" s="4" t="inlineStr">
        <is>
          <t>corporeality</t>
        </is>
      </c>
      <c r="H1" s="4" t="inlineStr">
        <is>
          <t>locomotion_flight</t>
        </is>
      </c>
      <c r="I1" s="4" t="inlineStr">
        <is>
          <t>burial_association</t>
        </is>
      </c>
      <c r="J1" s="4" t="inlineStr">
        <is>
          <t>child_association</t>
        </is>
      </c>
      <c r="K1" s="4" t="inlineStr">
        <is>
          <t>predation_blood_organs</t>
        </is>
      </c>
      <c r="L1" s="4" t="inlineStr">
        <is>
          <t>theft_mischief</t>
        </is>
      </c>
      <c r="M1" s="4" t="inlineStr">
        <is>
          <t>body_hair_or_fur</t>
        </is>
      </c>
      <c r="N1" s="4" t="inlineStr">
        <is>
          <t>animal_transformation</t>
        </is>
      </c>
      <c r="O1" s="4" t="inlineStr">
        <is>
          <t>head_detachment</t>
        </is>
      </c>
      <c r="P1" s="4" t="inlineStr">
        <is>
          <t>fire_luminosity</t>
        </is>
      </c>
      <c r="Q1" s="4" t="inlineStr">
        <is>
          <t>aquatic_association</t>
        </is>
      </c>
      <c r="R1" s="4" t="inlineStr">
        <is>
          <t>forest_association</t>
        </is>
      </c>
      <c r="S1" s="4" t="inlineStr">
        <is>
          <t>domestic_settlement</t>
        </is>
      </c>
      <c r="T1" s="4" t="inlineStr">
        <is>
          <t>apotropaic_magic</t>
        </is>
      </c>
      <c r="U1" s="4" t="inlineStr">
        <is>
          <t>southeast_asia_wide</t>
        </is>
      </c>
    </row>
    <row r="2">
      <c r="A2" s="7" t="inlineStr">
        <is>
          <t>Kuntilanak</t>
        </is>
      </c>
      <c r="B2" s="7" t="inlineStr">
        <is>
          <t>kuntilanak_indonesian_archipelago</t>
        </is>
      </c>
      <c r="C2" s="7" t="inlineStr">
        <is>
          <t>Vengeful Female</t>
        </is>
      </c>
      <c r="D2" s="8" t="n">
        <v>1</v>
      </c>
      <c r="E2" s="8" t="n">
        <v>1</v>
      </c>
      <c r="F2" s="8" t="n">
        <v>1</v>
      </c>
      <c r="G2" s="8" t="n">
        <v>1</v>
      </c>
      <c r="H2" s="9" t="n">
        <v>0</v>
      </c>
      <c r="I2" s="9" t="n">
        <v>0</v>
      </c>
      <c r="J2" s="8" t="n">
        <v>1</v>
      </c>
      <c r="K2" s="8" t="n">
        <v>1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8" t="n">
        <v>1</v>
      </c>
      <c r="T2" s="9" t="n">
        <v>0</v>
      </c>
      <c r="U2" s="8" t="n">
        <v>1</v>
      </c>
    </row>
    <row r="3">
      <c r="A3" s="7" t="inlineStr">
        <is>
          <t>Sundel Bolong Java</t>
        </is>
      </c>
      <c r="B3" s="7" t="inlineStr">
        <is>
          <t>sundel_bolong_java_indonesia</t>
        </is>
      </c>
      <c r="C3" s="7" t="inlineStr">
        <is>
          <t>Vengeful Female</t>
        </is>
      </c>
      <c r="D3" s="8" t="n">
        <v>1</v>
      </c>
      <c r="E3" s="8" t="n">
        <v>1</v>
      </c>
      <c r="F3" s="8" t="n">
        <v>1</v>
      </c>
      <c r="G3" s="8" t="n">
        <v>1</v>
      </c>
      <c r="H3" s="9" t="n">
        <v>0</v>
      </c>
      <c r="I3" s="8" t="n">
        <v>1</v>
      </c>
      <c r="J3" s="8" t="n">
        <v>1</v>
      </c>
      <c r="K3" s="8" t="n">
        <v>1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8" t="n">
        <v>1</v>
      </c>
      <c r="T3" s="9" t="n">
        <v>0</v>
      </c>
      <c r="U3" s="9" t="n">
        <v>0</v>
      </c>
    </row>
    <row r="4">
      <c r="A4" s="7" t="inlineStr">
        <is>
          <t>Wewe Gombel Java</t>
        </is>
      </c>
      <c r="B4" s="7" t="inlineStr">
        <is>
          <t>wewe_gombel_java_indonesia</t>
        </is>
      </c>
      <c r="C4" s="7" t="inlineStr">
        <is>
          <t>Vengeful Female</t>
        </is>
      </c>
      <c r="D4" s="8" t="n">
        <v>1</v>
      </c>
      <c r="E4" s="8" t="n">
        <v>1</v>
      </c>
      <c r="F4" s="9" t="n">
        <v>0</v>
      </c>
      <c r="G4" s="8" t="n">
        <v>1</v>
      </c>
      <c r="H4" s="9" t="n">
        <v>0</v>
      </c>
      <c r="I4" s="9" t="n">
        <v>0</v>
      </c>
      <c r="J4" s="8" t="n">
        <v>1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8" t="n">
        <v>1</v>
      </c>
      <c r="S4" s="8" t="n">
        <v>1</v>
      </c>
      <c r="T4" s="9" t="n">
        <v>0</v>
      </c>
      <c r="U4" s="9" t="n">
        <v>0</v>
      </c>
    </row>
    <row r="5">
      <c r="A5" s="7" t="inlineStr">
        <is>
          <t>Genderuwo Java</t>
        </is>
      </c>
      <c r="B5" s="7" t="inlineStr">
        <is>
          <t>genderuwo_java_indonesia</t>
        </is>
      </c>
      <c r="C5" s="7" t="inlineStr">
        <is>
          <t>Hominid Cryptid</t>
        </is>
      </c>
      <c r="D5" s="8" t="n">
        <v>1</v>
      </c>
      <c r="E5" s="9" t="n">
        <v>0</v>
      </c>
      <c r="F5" s="9" t="n">
        <v>0</v>
      </c>
      <c r="G5" s="8" t="n">
        <v>1</v>
      </c>
      <c r="H5" s="9" t="n">
        <v>0</v>
      </c>
      <c r="I5" s="9" t="n">
        <v>0</v>
      </c>
      <c r="J5" s="9" t="n">
        <v>0</v>
      </c>
      <c r="K5" s="9" t="n">
        <v>0</v>
      </c>
      <c r="L5" s="8" t="n">
        <v>1</v>
      </c>
      <c r="M5" s="8" t="n">
        <v>1</v>
      </c>
      <c r="N5" s="8" t="n">
        <v>1</v>
      </c>
      <c r="O5" s="9" t="n">
        <v>0</v>
      </c>
      <c r="P5" s="9" t="n">
        <v>0</v>
      </c>
      <c r="Q5" s="9" t="n">
        <v>0</v>
      </c>
      <c r="R5" s="8" t="n">
        <v>1</v>
      </c>
      <c r="S5" s="8" t="n">
        <v>1</v>
      </c>
      <c r="T5" s="9" t="n">
        <v>0</v>
      </c>
      <c r="U5" s="9" t="n">
        <v>0</v>
      </c>
    </row>
    <row r="6">
      <c r="A6" s="7" t="inlineStr">
        <is>
          <t>Ahool Java</t>
        </is>
      </c>
      <c r="B6" s="7" t="inlineStr">
        <is>
          <t>ahool_java_indonesia</t>
        </is>
      </c>
      <c r="C6" s="7" t="inlineStr">
        <is>
          <t>Volant Cryptid</t>
        </is>
      </c>
      <c r="D6" s="8" t="n">
        <v>1</v>
      </c>
      <c r="E6" s="9" t="n">
        <v>2</v>
      </c>
      <c r="F6" s="9" t="n">
        <v>0</v>
      </c>
      <c r="G6" s="8" t="n">
        <v>1</v>
      </c>
      <c r="H6" s="8" t="n">
        <v>1</v>
      </c>
      <c r="I6" s="9" t="n">
        <v>0</v>
      </c>
      <c r="J6" s="9" t="n">
        <v>0</v>
      </c>
      <c r="K6" s="8" t="n">
        <v>1</v>
      </c>
      <c r="L6" s="9" t="n">
        <v>0</v>
      </c>
      <c r="M6" s="8" t="n">
        <v>1</v>
      </c>
      <c r="N6" s="9" t="n">
        <v>0</v>
      </c>
      <c r="O6" s="9" t="n">
        <v>0</v>
      </c>
      <c r="P6" s="9" t="n">
        <v>0</v>
      </c>
      <c r="Q6" s="9" t="n">
        <v>0</v>
      </c>
      <c r="R6" s="8" t="n">
        <v>1</v>
      </c>
      <c r="S6" s="9" t="n">
        <v>0</v>
      </c>
      <c r="T6" s="9" t="n">
        <v>0</v>
      </c>
      <c r="U6" s="9" t="n">
        <v>0</v>
      </c>
    </row>
    <row r="7">
      <c r="A7" s="7" t="inlineStr">
        <is>
          <t>Babi Ngepet Java</t>
        </is>
      </c>
      <c r="B7" s="7" t="inlineStr">
        <is>
          <t>babi_ngepet_java_indonesia</t>
        </is>
      </c>
      <c r="C7" s="7" t="inlineStr">
        <is>
          <t>PesugihanWealth Demon</t>
        </is>
      </c>
      <c r="D7" s="9" t="n">
        <v>0</v>
      </c>
      <c r="E7" s="9" t="n">
        <v>2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8" t="n">
        <v>1</v>
      </c>
      <c r="M7" s="8" t="n">
        <v>1</v>
      </c>
      <c r="N7" s="8" t="n">
        <v>1</v>
      </c>
      <c r="O7" s="9" t="n">
        <v>0</v>
      </c>
      <c r="P7" s="9" t="n">
        <v>0</v>
      </c>
      <c r="Q7" s="9" t="n">
        <v>0</v>
      </c>
      <c r="R7" s="9" t="n">
        <v>0</v>
      </c>
      <c r="S7" s="8" t="n">
        <v>1</v>
      </c>
      <c r="T7" s="8" t="n">
        <v>1</v>
      </c>
      <c r="U7" s="9" t="n">
        <v>0</v>
      </c>
    </row>
    <row r="8">
      <c r="A8" s="7" t="inlineStr">
        <is>
          <t>Toyol Tuyul</t>
        </is>
      </c>
      <c r="B8" s="7" t="inlineStr">
        <is>
          <t>toyol_tuyul_indonesian_archipelago</t>
        </is>
      </c>
      <c r="C8" s="7" t="inlineStr">
        <is>
          <t>PesugihanWealth Demon</t>
        </is>
      </c>
      <c r="D8" s="8" t="n">
        <v>1</v>
      </c>
      <c r="E8" s="9" t="n">
        <v>2</v>
      </c>
      <c r="F8" s="8" t="n">
        <v>1</v>
      </c>
      <c r="G8" s="8" t="n">
        <v>1</v>
      </c>
      <c r="H8" s="9" t="n">
        <v>0</v>
      </c>
      <c r="I8" s="9" t="n">
        <v>0</v>
      </c>
      <c r="J8" s="8" t="n">
        <v>1</v>
      </c>
      <c r="K8" s="9" t="n">
        <v>0</v>
      </c>
      <c r="L8" s="8" t="n">
        <v>1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8" t="n">
        <v>1</v>
      </c>
      <c r="T8" s="8" t="n">
        <v>1</v>
      </c>
      <c r="U8" s="8" t="n">
        <v>1</v>
      </c>
    </row>
    <row r="9">
      <c r="A9" s="7" t="inlineStr">
        <is>
          <t>Jenglot</t>
        </is>
      </c>
      <c r="B9" s="7" t="inlineStr">
        <is>
          <t>jenglot_indonesian_archipelago</t>
        </is>
      </c>
      <c r="C9" s="7" t="inlineStr">
        <is>
          <t>PesugihanWealth Demon</t>
        </is>
      </c>
      <c r="D9" s="9" t="n">
        <v>0</v>
      </c>
      <c r="E9" s="9" t="n">
        <v>2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8" t="n">
        <v>1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8" t="n">
        <v>1</v>
      </c>
      <c r="T9" s="8" t="n">
        <v>1</v>
      </c>
      <c r="U9" s="9" t="n">
        <v>0</v>
      </c>
    </row>
    <row r="10">
      <c r="A10" s="7" t="inlineStr">
        <is>
          <t>Pocong Java</t>
        </is>
      </c>
      <c r="B10" s="7" t="inlineStr">
        <is>
          <t>pocong_java_indonesia</t>
        </is>
      </c>
      <c r="C10" s="7" t="inlineStr">
        <is>
          <t>UndeadRevenant</t>
        </is>
      </c>
      <c r="D10" s="8" t="n">
        <v>1</v>
      </c>
      <c r="E10" s="9" t="n">
        <v>2</v>
      </c>
      <c r="F10" s="8" t="n">
        <v>1</v>
      </c>
      <c r="G10" s="8" t="n">
        <v>1</v>
      </c>
      <c r="H10" s="9" t="n">
        <v>0</v>
      </c>
      <c r="I10" s="8" t="n">
        <v>1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8" t="n">
        <v>1</v>
      </c>
      <c r="T10" s="9" t="n">
        <v>0</v>
      </c>
      <c r="U10" s="8" t="n">
        <v>1</v>
      </c>
    </row>
    <row r="11">
      <c r="A11" s="7" t="inlineStr">
        <is>
          <t>Banaspati Java</t>
        </is>
      </c>
      <c r="B11" s="7" t="inlineStr">
        <is>
          <t>banaspati_java_indonesia</t>
        </is>
      </c>
      <c r="C11" s="7" t="inlineStr">
        <is>
          <t>ElementalDemonic</t>
        </is>
      </c>
      <c r="D11" s="8" t="n">
        <v>1</v>
      </c>
      <c r="E11" s="9" t="n">
        <v>2</v>
      </c>
      <c r="F11" s="9" t="n">
        <v>0</v>
      </c>
      <c r="G11" s="8" t="n">
        <v>1</v>
      </c>
      <c r="H11" s="8" t="n">
        <v>1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8" t="n">
        <v>1</v>
      </c>
      <c r="Q11" s="9" t="n">
        <v>0</v>
      </c>
      <c r="R11" s="9" t="n">
        <v>0</v>
      </c>
      <c r="S11" s="8" t="n">
        <v>1</v>
      </c>
      <c r="T11" s="9" t="n">
        <v>0</v>
      </c>
      <c r="U11" s="9" t="n">
        <v>0</v>
      </c>
    </row>
    <row r="12">
      <c r="A12" s="7" t="inlineStr">
        <is>
          <t>Buto Ijo Java</t>
        </is>
      </c>
      <c r="B12" s="7" t="inlineStr">
        <is>
          <t>buto_ijo_java_indonesia</t>
        </is>
      </c>
      <c r="C12" s="7" t="inlineStr">
        <is>
          <t>PesugihanWealth Demon</t>
        </is>
      </c>
      <c r="D12" s="8" t="n">
        <v>1</v>
      </c>
      <c r="E12" s="9" t="n">
        <v>2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8" t="n">
        <v>1</v>
      </c>
      <c r="L12" s="8" t="n">
        <v>1</v>
      </c>
      <c r="M12" s="8" t="n">
        <v>1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8" t="n">
        <v>1</v>
      </c>
      <c r="T12" s="8" t="n">
        <v>1</v>
      </c>
      <c r="U12" s="9" t="n">
        <v>0</v>
      </c>
    </row>
    <row r="13">
      <c r="A13" s="7" t="inlineStr">
        <is>
          <t>Suster Ngesot Java</t>
        </is>
      </c>
      <c r="B13" s="7" t="inlineStr">
        <is>
          <t>suster_ngesot_java_indonesia</t>
        </is>
      </c>
      <c r="C13" s="7" t="inlineStr">
        <is>
          <t>Vengeful Female</t>
        </is>
      </c>
      <c r="D13" s="8" t="n">
        <v>1</v>
      </c>
      <c r="E13" s="8" t="n">
        <v>1</v>
      </c>
      <c r="F13" s="8" t="n">
        <v>1</v>
      </c>
      <c r="G13" s="8" t="n">
        <v>1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8" t="n">
        <v>1</v>
      </c>
      <c r="T13" s="9" t="n">
        <v>0</v>
      </c>
      <c r="U13" s="9" t="n">
        <v>0</v>
      </c>
    </row>
    <row r="14">
      <c r="A14" s="7" t="inlineStr">
        <is>
          <t>Batara Kala Java</t>
        </is>
      </c>
      <c r="B14" s="7" t="inlineStr">
        <is>
          <t>batara_kala_java_indonesia</t>
        </is>
      </c>
      <c r="C14" s="7" t="inlineStr">
        <is>
          <t>ElementalDemonic</t>
        </is>
      </c>
      <c r="D14" s="8" t="n">
        <v>1</v>
      </c>
      <c r="E14" s="9" t="n">
        <v>2</v>
      </c>
      <c r="F14" s="9" t="n">
        <v>0</v>
      </c>
      <c r="G14" s="9" t="n">
        <v>0</v>
      </c>
      <c r="H14" s="9" t="n">
        <v>0</v>
      </c>
      <c r="I14" s="9" t="n">
        <v>0</v>
      </c>
      <c r="J14" s="8" t="n">
        <v>1</v>
      </c>
      <c r="K14" s="8" t="n">
        <v>1</v>
      </c>
      <c r="L14" s="9" t="n">
        <v>0</v>
      </c>
      <c r="M14" s="8" t="n">
        <v>1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8" t="n">
        <v>1</v>
      </c>
      <c r="U14" s="9" t="n">
        <v>0</v>
      </c>
    </row>
    <row r="15">
      <c r="A15" s="7" t="inlineStr">
        <is>
          <t>Bajang Java</t>
        </is>
      </c>
      <c r="B15" s="7" t="inlineStr">
        <is>
          <t>bajang_java_indonesia</t>
        </is>
      </c>
      <c r="C15" s="7" t="inlineStr">
        <is>
          <t>Volant Viscerophage</t>
        </is>
      </c>
      <c r="D15" s="8" t="n">
        <v>1</v>
      </c>
      <c r="E15" s="9" t="n">
        <v>2</v>
      </c>
      <c r="F15" s="9" t="n">
        <v>0</v>
      </c>
      <c r="G15" s="9" t="n">
        <v>0</v>
      </c>
      <c r="H15" s="8" t="n">
        <v>1</v>
      </c>
      <c r="I15" s="9" t="n">
        <v>0</v>
      </c>
      <c r="J15" s="8" t="n">
        <v>1</v>
      </c>
      <c r="K15" s="8" t="n">
        <v>1</v>
      </c>
      <c r="L15" s="9" t="n">
        <v>0</v>
      </c>
      <c r="M15" s="8" t="n">
        <v>1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8" t="n">
        <v>1</v>
      </c>
      <c r="U15" s="9" t="n">
        <v>0</v>
      </c>
    </row>
    <row r="16">
      <c r="A16" s="7" t="inlineStr">
        <is>
          <t>Tuyul Buncit Java</t>
        </is>
      </c>
      <c r="B16" s="7" t="inlineStr">
        <is>
          <t>tuyul_buncit_java_indonesia</t>
        </is>
      </c>
      <c r="C16" s="7" t="inlineStr">
        <is>
          <t>PesugihanWealth Demon</t>
        </is>
      </c>
      <c r="D16" s="8" t="n">
        <v>1</v>
      </c>
      <c r="E16" s="9" t="n">
        <v>2</v>
      </c>
      <c r="F16" s="8" t="n">
        <v>1</v>
      </c>
      <c r="G16" s="8" t="n">
        <v>1</v>
      </c>
      <c r="H16" s="9" t="n">
        <v>0</v>
      </c>
      <c r="I16" s="9" t="n">
        <v>0</v>
      </c>
      <c r="J16" s="8" t="n">
        <v>1</v>
      </c>
      <c r="K16" s="9" t="n">
        <v>0</v>
      </c>
      <c r="L16" s="8" t="n">
        <v>1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8" t="n">
        <v>1</v>
      </c>
      <c r="T16" s="8" t="n">
        <v>1</v>
      </c>
      <c r="U16" s="8" t="n">
        <v>1</v>
      </c>
    </row>
    <row r="17">
      <c r="A17" s="7" t="inlineStr">
        <is>
          <t>Leyak Bali</t>
        </is>
      </c>
      <c r="B17" s="7" t="inlineStr">
        <is>
          <t>leyak_bali_indonesia</t>
        </is>
      </c>
      <c r="C17" s="7" t="inlineStr">
        <is>
          <t>Volant Viscerophage</t>
        </is>
      </c>
      <c r="D17" s="8" t="n">
        <v>1</v>
      </c>
      <c r="E17" s="9" t="n">
        <v>2</v>
      </c>
      <c r="F17" s="9" t="n">
        <v>0</v>
      </c>
      <c r="G17" s="9" t="n">
        <v>0</v>
      </c>
      <c r="H17" s="8" t="n">
        <v>1</v>
      </c>
      <c r="I17" s="8" t="n">
        <v>1</v>
      </c>
      <c r="J17" s="8" t="n">
        <v>1</v>
      </c>
      <c r="K17" s="8" t="n">
        <v>1</v>
      </c>
      <c r="L17" s="9" t="n">
        <v>0</v>
      </c>
      <c r="M17" s="9" t="n">
        <v>0</v>
      </c>
      <c r="N17" s="8" t="n">
        <v>1</v>
      </c>
      <c r="O17" s="8" t="n">
        <v>1</v>
      </c>
      <c r="P17" s="8" t="n">
        <v>1</v>
      </c>
      <c r="Q17" s="9" t="n">
        <v>0</v>
      </c>
      <c r="R17" s="9" t="n">
        <v>0</v>
      </c>
      <c r="S17" s="9" t="n">
        <v>0</v>
      </c>
      <c r="T17" s="8" t="n">
        <v>1</v>
      </c>
      <c r="U17" s="9" t="n">
        <v>0</v>
      </c>
    </row>
    <row r="18">
      <c r="A18" s="7" t="inlineStr">
        <is>
          <t>Palasik West Sumatra</t>
        </is>
      </c>
      <c r="B18" s="7" t="inlineStr">
        <is>
          <t>palasik_west_sumatra_indonesia</t>
        </is>
      </c>
      <c r="C18" s="7" t="inlineStr">
        <is>
          <t>Volant Viscerophage</t>
        </is>
      </c>
      <c r="D18" s="8" t="n">
        <v>1</v>
      </c>
      <c r="E18" s="9" t="n">
        <v>2</v>
      </c>
      <c r="F18" s="9" t="n">
        <v>0</v>
      </c>
      <c r="G18" s="8" t="n">
        <v>1</v>
      </c>
      <c r="H18" s="8" t="n">
        <v>1</v>
      </c>
      <c r="I18" s="9" t="n">
        <v>0</v>
      </c>
      <c r="J18" s="8" t="n">
        <v>1</v>
      </c>
      <c r="K18" s="8" t="n">
        <v>1</v>
      </c>
      <c r="L18" s="9" t="n">
        <v>0</v>
      </c>
      <c r="M18" s="9" t="n">
        <v>0</v>
      </c>
      <c r="N18" s="9" t="n">
        <v>0</v>
      </c>
      <c r="O18" s="8" t="n">
        <v>1</v>
      </c>
      <c r="P18" s="9" t="n">
        <v>0</v>
      </c>
      <c r="Q18" s="9" t="n">
        <v>0</v>
      </c>
      <c r="R18" s="9" t="n">
        <v>0</v>
      </c>
      <c r="S18" s="9" t="n">
        <v>0</v>
      </c>
      <c r="T18" s="8" t="n">
        <v>1</v>
      </c>
      <c r="U18" s="9" t="n">
        <v>0</v>
      </c>
    </row>
    <row r="19">
      <c r="A19" s="7" t="inlineStr">
        <is>
          <t>Orang Pendek Sumatra</t>
        </is>
      </c>
      <c r="B19" s="7" t="inlineStr">
        <is>
          <t>orang_pendek_sumatra_indonesia</t>
        </is>
      </c>
      <c r="C19" s="7" t="inlineStr">
        <is>
          <t>Hominid Cryptid</t>
        </is>
      </c>
      <c r="D19" s="8" t="n">
        <v>1</v>
      </c>
      <c r="E19" s="9" t="n">
        <v>2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8" t="n">
        <v>1</v>
      </c>
      <c r="N19" s="9" t="n">
        <v>0</v>
      </c>
      <c r="O19" s="9" t="n">
        <v>0</v>
      </c>
      <c r="P19" s="9" t="n">
        <v>0</v>
      </c>
      <c r="Q19" s="9" t="n">
        <v>0</v>
      </c>
      <c r="R19" s="8" t="n">
        <v>1</v>
      </c>
      <c r="S19" s="9" t="n">
        <v>0</v>
      </c>
      <c r="T19" s="9" t="n">
        <v>0</v>
      </c>
      <c r="U19" s="9" t="n">
        <v>0</v>
      </c>
    </row>
    <row r="20">
      <c r="A20" s="7" t="inlineStr">
        <is>
          <t>Cindaku Sumatra</t>
        </is>
      </c>
      <c r="B20" s="7" t="inlineStr">
        <is>
          <t>cindaku_sumatra_indonesia</t>
        </is>
      </c>
      <c r="C20" s="7" t="inlineStr">
        <is>
          <t>TherianthropeShapeshifter</t>
        </is>
      </c>
      <c r="D20" s="8" t="n">
        <v>1</v>
      </c>
      <c r="E20" s="9" t="n">
        <v>2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8" t="n">
        <v>1</v>
      </c>
      <c r="L20" s="9" t="n">
        <v>0</v>
      </c>
      <c r="M20" s="8" t="n">
        <v>1</v>
      </c>
      <c r="N20" s="8" t="n">
        <v>1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</row>
    <row r="21">
      <c r="A21" s="7" t="inlineStr">
        <is>
          <t>Begu Ganjang Sumatra</t>
        </is>
      </c>
      <c r="B21" s="7" t="inlineStr">
        <is>
          <t>begu_ganjang_sumatra_indonesia</t>
        </is>
      </c>
      <c r="C21" s="7" t="inlineStr">
        <is>
          <t>ElementalDemonic</t>
        </is>
      </c>
      <c r="D21" s="8" t="n">
        <v>1</v>
      </c>
      <c r="E21" s="9" t="n">
        <v>2</v>
      </c>
      <c r="F21" s="9" t="n">
        <v>0</v>
      </c>
      <c r="G21" s="8" t="n">
        <v>1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8" t="n">
        <v>1</v>
      </c>
      <c r="U21" s="9" t="n">
        <v>0</v>
      </c>
    </row>
    <row r="22">
      <c r="A22" s="7" t="inlineStr">
        <is>
          <t>Si Manis Jembatan Ancol Java</t>
        </is>
      </c>
      <c r="B22" s="7" t="inlineStr">
        <is>
          <t>si_manis_jembatan_ancol_java</t>
        </is>
      </c>
      <c r="C22" s="7" t="inlineStr">
        <is>
          <t>Vengeful Female</t>
        </is>
      </c>
      <c r="D22" s="8" t="n">
        <v>1</v>
      </c>
      <c r="E22" s="8" t="n">
        <v>1</v>
      </c>
      <c r="F22" s="8" t="n">
        <v>1</v>
      </c>
      <c r="G22" s="9" t="n">
        <v>0</v>
      </c>
      <c r="H22" s="9" t="n">
        <v>0</v>
      </c>
      <c r="I22" s="8" t="n">
        <v>1</v>
      </c>
      <c r="J22" s="8" t="n">
        <v>1</v>
      </c>
      <c r="K22" s="8" t="n">
        <v>1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8" t="n">
        <v>1</v>
      </c>
      <c r="T22" s="9" t="n">
        <v>0</v>
      </c>
      <c r="U22" s="9" t="n">
        <v>0</v>
      </c>
    </row>
    <row r="23">
      <c r="A23" s="7" t="inlineStr">
        <is>
          <t>Penanggalan Malaysia</t>
        </is>
      </c>
      <c r="B23" s="7" t="inlineStr">
        <is>
          <t>penanggalan_malaysia</t>
        </is>
      </c>
      <c r="C23" s="7" t="inlineStr">
        <is>
          <t>Volant Viscerophage</t>
        </is>
      </c>
      <c r="D23" s="8" t="n">
        <v>1</v>
      </c>
      <c r="E23" s="9" t="n">
        <v>2</v>
      </c>
      <c r="F23" s="9" t="n">
        <v>0</v>
      </c>
      <c r="G23" s="9" t="n">
        <v>0</v>
      </c>
      <c r="H23" s="8" t="n">
        <v>1</v>
      </c>
      <c r="I23" s="9" t="n">
        <v>0</v>
      </c>
      <c r="J23" s="8" t="n">
        <v>1</v>
      </c>
      <c r="K23" s="8" t="n">
        <v>1</v>
      </c>
      <c r="L23" s="9" t="n">
        <v>0</v>
      </c>
      <c r="M23" s="9" t="n">
        <v>0</v>
      </c>
      <c r="N23" s="9" t="n">
        <v>0</v>
      </c>
      <c r="O23" s="8" t="n">
        <v>1</v>
      </c>
      <c r="P23" s="9" t="n">
        <v>0</v>
      </c>
      <c r="Q23" s="9" t="n">
        <v>0</v>
      </c>
      <c r="R23" s="9" t="n">
        <v>0</v>
      </c>
      <c r="S23" s="9" t="n">
        <v>0</v>
      </c>
      <c r="T23" s="8" t="n">
        <v>1</v>
      </c>
      <c r="U23" s="8" t="n">
        <v>1</v>
      </c>
    </row>
    <row r="24">
      <c r="A24" s="7" t="inlineStr">
        <is>
          <t>Manananggal Philippines</t>
        </is>
      </c>
      <c r="B24" s="7" t="inlineStr">
        <is>
          <t>manananggal_philippines</t>
        </is>
      </c>
      <c r="C24" s="7" t="inlineStr">
        <is>
          <t>Volant Viscerophage</t>
        </is>
      </c>
      <c r="D24" s="8" t="n">
        <v>1</v>
      </c>
      <c r="E24" s="8" t="n">
        <v>1</v>
      </c>
      <c r="F24" s="9" t="n">
        <v>0</v>
      </c>
      <c r="G24" s="9" t="n">
        <v>0</v>
      </c>
      <c r="H24" s="8" t="n">
        <v>1</v>
      </c>
      <c r="I24" s="9" t="n">
        <v>0</v>
      </c>
      <c r="J24" s="8" t="n">
        <v>1</v>
      </c>
      <c r="K24" s="8" t="n">
        <v>1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8" t="n">
        <v>1</v>
      </c>
      <c r="T24" s="9" t="n">
        <v>0</v>
      </c>
      <c r="U24" s="8" t="n">
        <v>1</v>
      </c>
    </row>
    <row r="25">
      <c r="A25" s="7" t="inlineStr">
        <is>
          <t>Krasue Ap Thailand Cambodia</t>
        </is>
      </c>
      <c r="B25" s="7" t="inlineStr">
        <is>
          <t>krasue_ap_thailand_cambodia</t>
        </is>
      </c>
      <c r="C25" s="7" t="inlineStr">
        <is>
          <t>Volant Viscerophage</t>
        </is>
      </c>
      <c r="D25" s="8" t="n">
        <v>1</v>
      </c>
      <c r="E25" s="8" t="n">
        <v>1</v>
      </c>
      <c r="F25" s="9" t="n">
        <v>0</v>
      </c>
      <c r="G25" s="8" t="n">
        <v>1</v>
      </c>
      <c r="H25" s="8" t="n">
        <v>1</v>
      </c>
      <c r="I25" s="9" t="n">
        <v>0</v>
      </c>
      <c r="J25" s="9" t="n">
        <v>0</v>
      </c>
      <c r="K25" s="8" t="n">
        <v>1</v>
      </c>
      <c r="L25" s="9" t="n">
        <v>0</v>
      </c>
      <c r="M25" s="9" t="n">
        <v>0</v>
      </c>
      <c r="N25" s="9" t="n">
        <v>0</v>
      </c>
      <c r="O25" s="8" t="n">
        <v>1</v>
      </c>
      <c r="P25" s="9" t="n">
        <v>0</v>
      </c>
      <c r="Q25" s="9" t="n">
        <v>0</v>
      </c>
      <c r="R25" s="9" t="n">
        <v>0</v>
      </c>
      <c r="S25" s="8" t="n">
        <v>1</v>
      </c>
      <c r="T25" s="9" t="n">
        <v>0</v>
      </c>
      <c r="U25" s="8" t="n">
        <v>1</v>
      </c>
    </row>
    <row r="26">
      <c r="A26" s="7" t="inlineStr">
        <is>
          <t>Langsuyar Malaysia</t>
        </is>
      </c>
      <c r="B26" s="7" t="inlineStr">
        <is>
          <t>langsuyar_malaysia</t>
        </is>
      </c>
      <c r="C26" s="7" t="inlineStr">
        <is>
          <t>Vengeful Female</t>
        </is>
      </c>
      <c r="D26" s="8" t="n">
        <v>1</v>
      </c>
      <c r="E26" s="8" t="n">
        <v>1</v>
      </c>
      <c r="F26" s="8" t="n">
        <v>1</v>
      </c>
      <c r="G26" s="9" t="n">
        <v>0</v>
      </c>
      <c r="H26" s="9" t="n">
        <v>0</v>
      </c>
      <c r="I26" s="8" t="n">
        <v>1</v>
      </c>
      <c r="J26" s="8" t="n">
        <v>1</v>
      </c>
      <c r="K26" s="8" t="n">
        <v>1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8" t="n">
        <v>1</v>
      </c>
      <c r="T26" s="9" t="n">
        <v>0</v>
      </c>
      <c r="U26" s="8" t="n">
        <v>1</v>
      </c>
    </row>
    <row r="27">
      <c r="A27" s="7" t="inlineStr">
        <is>
          <t>Leak Bali</t>
        </is>
      </c>
      <c r="B27" s="7" t="inlineStr">
        <is>
          <t>leak_bali_indonesia</t>
        </is>
      </c>
      <c r="C27" s="7" t="inlineStr">
        <is>
          <t>TherianthropeShapeshifter</t>
        </is>
      </c>
      <c r="D27" s="8" t="n">
        <v>1</v>
      </c>
      <c r="E27" s="9" t="n">
        <v>2</v>
      </c>
      <c r="F27" s="9" t="n">
        <v>0</v>
      </c>
      <c r="G27" s="9" t="n">
        <v>0</v>
      </c>
      <c r="H27" s="8" t="n">
        <v>1</v>
      </c>
      <c r="I27" s="8" t="n">
        <v>1</v>
      </c>
      <c r="J27" s="8" t="n">
        <v>1</v>
      </c>
      <c r="K27" s="8" t="n">
        <v>1</v>
      </c>
      <c r="L27" s="9" t="n">
        <v>0</v>
      </c>
      <c r="M27" s="9" t="n">
        <v>0</v>
      </c>
      <c r="N27" s="8" t="n">
        <v>1</v>
      </c>
      <c r="O27" s="8" t="n">
        <v>1</v>
      </c>
      <c r="P27" s="8" t="n">
        <v>1</v>
      </c>
      <c r="Q27" s="9" t="n">
        <v>0</v>
      </c>
      <c r="R27" s="9" t="n">
        <v>0</v>
      </c>
      <c r="S27" s="9" t="n">
        <v>0</v>
      </c>
      <c r="T27" s="8" t="n">
        <v>1</v>
      </c>
      <c r="U27" s="9" t="n">
        <v>0</v>
      </c>
    </row>
    <row r="28">
      <c r="A28" s="7" t="inlineStr">
        <is>
          <t>Rangda Bali</t>
        </is>
      </c>
      <c r="B28" s="7" t="inlineStr">
        <is>
          <t>rangda_bali_indonesia</t>
        </is>
      </c>
      <c r="C28" s="7" t="inlineStr">
        <is>
          <t>ElementalDemonic</t>
        </is>
      </c>
      <c r="D28" s="8" t="n">
        <v>1</v>
      </c>
      <c r="E28" s="8" t="n">
        <v>1</v>
      </c>
      <c r="F28" s="9" t="n">
        <v>0</v>
      </c>
      <c r="G28" s="9" t="n">
        <v>0</v>
      </c>
      <c r="H28" s="9" t="n">
        <v>0</v>
      </c>
      <c r="I28" s="8" t="n">
        <v>1</v>
      </c>
      <c r="J28" s="8" t="n">
        <v>1</v>
      </c>
      <c r="K28" s="8" t="n">
        <v>1</v>
      </c>
      <c r="L28" s="9" t="n">
        <v>0</v>
      </c>
      <c r="M28" s="9" t="n">
        <v>0</v>
      </c>
      <c r="N28" s="8" t="n">
        <v>1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8" t="n">
        <v>1</v>
      </c>
      <c r="U28" s="9" t="n">
        <v>0</v>
      </c>
    </row>
    <row r="29">
      <c r="A29" s="7" t="inlineStr">
        <is>
          <t>Barong Bali</t>
        </is>
      </c>
      <c r="B29" s="7" t="inlineStr">
        <is>
          <t>barong_bali_indonesia</t>
        </is>
      </c>
      <c r="C29" s="7" t="inlineStr">
        <is>
          <t>ElementalDemonic</t>
        </is>
      </c>
      <c r="D29" s="9" t="n">
        <v>0</v>
      </c>
      <c r="E29" s="9" t="n">
        <v>2</v>
      </c>
      <c r="F29" s="9" t="n">
        <v>0</v>
      </c>
      <c r="G29" s="9" t="n">
        <v>0</v>
      </c>
      <c r="H29" s="9" t="n">
        <v>0</v>
      </c>
      <c r="I29" s="9" t="n">
        <v>0</v>
      </c>
      <c r="J29" s="8" t="n">
        <v>1</v>
      </c>
      <c r="K29" s="8" t="n">
        <v>1</v>
      </c>
      <c r="L29" s="9" t="n">
        <v>0</v>
      </c>
      <c r="M29" s="8" t="n">
        <v>1</v>
      </c>
      <c r="N29" s="8" t="n">
        <v>1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8" t="n">
        <v>1</v>
      </c>
      <c r="U29" s="9" t="n">
        <v>0</v>
      </c>
    </row>
    <row r="30">
      <c r="A30" s="7" t="inlineStr">
        <is>
          <t>Nyi Roro Kidul Java Bali</t>
        </is>
      </c>
      <c r="B30" s="7" t="inlineStr">
        <is>
          <t>nyi_roro_kidul_java_bali</t>
        </is>
      </c>
      <c r="C30" s="7" t="inlineStr">
        <is>
          <t>TherianthropeShapeshifter</t>
        </is>
      </c>
      <c r="D30" s="8" t="n">
        <v>1</v>
      </c>
      <c r="E30" s="8" t="n">
        <v>1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8" t="n">
        <v>1</v>
      </c>
      <c r="R30" s="9" t="n">
        <v>0</v>
      </c>
      <c r="S30" s="9" t="n">
        <v>0</v>
      </c>
      <c r="T30" s="8" t="n">
        <v>1</v>
      </c>
      <c r="U30" s="9" t="n">
        <v>0</v>
      </c>
    </row>
    <row r="31">
      <c r="A31" s="7" t="inlineStr">
        <is>
          <t>Jero Gede Mecaling Bali</t>
        </is>
      </c>
      <c r="B31" s="7" t="inlineStr">
        <is>
          <t>jero_gede_mecaling_bali</t>
        </is>
      </c>
      <c r="C31" s="7" t="inlineStr">
        <is>
          <t>ElementalDemonic</t>
        </is>
      </c>
      <c r="D31" s="8" t="n">
        <v>1</v>
      </c>
      <c r="E31" s="9" t="n">
        <v>2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8" t="n">
        <v>1</v>
      </c>
      <c r="L31" s="9" t="n">
        <v>0</v>
      </c>
      <c r="M31" s="8" t="n">
        <v>1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8" t="n">
        <v>1</v>
      </c>
      <c r="U31" s="9" t="n">
        <v>0</v>
      </c>
    </row>
    <row r="32">
      <c r="A32" s="7" t="inlineStr">
        <is>
          <t>Celuluk Bali</t>
        </is>
      </c>
      <c r="B32" s="7" t="inlineStr">
        <is>
          <t>celuluk_bali_indonesia</t>
        </is>
      </c>
      <c r="C32" s="7" t="inlineStr">
        <is>
          <t>Volant Viscerophage</t>
        </is>
      </c>
      <c r="D32" s="8" t="n">
        <v>1</v>
      </c>
      <c r="E32" s="9" t="n">
        <v>2</v>
      </c>
      <c r="F32" s="9" t="n">
        <v>0</v>
      </c>
      <c r="G32" s="9" t="n">
        <v>0</v>
      </c>
      <c r="H32" s="8" t="n">
        <v>1</v>
      </c>
      <c r="I32" s="9" t="n">
        <v>0</v>
      </c>
      <c r="J32" s="8" t="n">
        <v>1</v>
      </c>
      <c r="K32" s="8" t="n">
        <v>1</v>
      </c>
      <c r="L32" s="9" t="n">
        <v>0</v>
      </c>
      <c r="M32" s="8" t="n">
        <v>1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0</v>
      </c>
      <c r="S32" s="9" t="n">
        <v>0</v>
      </c>
      <c r="T32" s="8" t="n">
        <v>1</v>
      </c>
      <c r="U32" s="9" t="n">
        <v>0</v>
      </c>
    </row>
    <row r="33">
      <c r="A33" s="7" t="inlineStr">
        <is>
          <t>Kuyang Kalimantan</t>
        </is>
      </c>
      <c r="B33" s="7" t="inlineStr">
        <is>
          <t>kuyang_kalimantan_indonesia</t>
        </is>
      </c>
      <c r="C33" s="7" t="inlineStr">
        <is>
          <t>Volant Viscerophage</t>
        </is>
      </c>
      <c r="D33" s="8" t="n">
        <v>1</v>
      </c>
      <c r="E33" s="9" t="n">
        <v>2</v>
      </c>
      <c r="F33" s="9" t="n">
        <v>0</v>
      </c>
      <c r="G33" s="8" t="n">
        <v>1</v>
      </c>
      <c r="H33" s="8" t="n">
        <v>1</v>
      </c>
      <c r="I33" s="9" t="n">
        <v>0</v>
      </c>
      <c r="J33" s="8" t="n">
        <v>1</v>
      </c>
      <c r="K33" s="8" t="n">
        <v>1</v>
      </c>
      <c r="L33" s="9" t="n">
        <v>0</v>
      </c>
      <c r="M33" s="9" t="n">
        <v>0</v>
      </c>
      <c r="N33" s="9" t="n">
        <v>0</v>
      </c>
      <c r="O33" s="8" t="n">
        <v>1</v>
      </c>
      <c r="P33" s="9" t="n">
        <v>0</v>
      </c>
      <c r="Q33" s="9" t="n">
        <v>0</v>
      </c>
      <c r="R33" s="9" t="n">
        <v>0</v>
      </c>
      <c r="S33" s="9" t="n">
        <v>0</v>
      </c>
      <c r="T33" s="8" t="n">
        <v>1</v>
      </c>
      <c r="U33" s="9" t="n">
        <v>0</v>
      </c>
    </row>
    <row r="34">
      <c r="A34" s="7" t="inlineStr">
        <is>
          <t>Antu Gerugugu Kalimantan</t>
        </is>
      </c>
      <c r="B34" s="7" t="inlineStr">
        <is>
          <t>antu_gerugugu_kalimantan</t>
        </is>
      </c>
      <c r="C34" s="7" t="inlineStr">
        <is>
          <t>Vengeful Female</t>
        </is>
      </c>
      <c r="D34" s="8" t="n">
        <v>1</v>
      </c>
      <c r="E34" s="8" t="n">
        <v>1</v>
      </c>
      <c r="F34" s="8" t="n">
        <v>1</v>
      </c>
      <c r="G34" s="8" t="n">
        <v>1</v>
      </c>
      <c r="H34" s="9" t="n">
        <v>0</v>
      </c>
      <c r="I34" s="8" t="n">
        <v>1</v>
      </c>
      <c r="J34" s="8" t="n">
        <v>1</v>
      </c>
      <c r="K34" s="8" t="n">
        <v>1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0</v>
      </c>
      <c r="S34" s="8" t="n">
        <v>1</v>
      </c>
      <c r="T34" s="9" t="n">
        <v>0</v>
      </c>
      <c r="U34" s="9" t="n">
        <v>0</v>
      </c>
    </row>
    <row r="35">
      <c r="A35" s="7" t="inlineStr">
        <is>
          <t>Antu Raya Dayak Kalimantan</t>
        </is>
      </c>
      <c r="B35" s="7" t="inlineStr">
        <is>
          <t>antu_raya_dayak_kalimantan</t>
        </is>
      </c>
      <c r="C35" s="7" t="inlineStr">
        <is>
          <t>ElementalDemonic</t>
        </is>
      </c>
      <c r="D35" s="8" t="n">
        <v>1</v>
      </c>
      <c r="E35" s="9" t="n">
        <v>2</v>
      </c>
      <c r="F35" s="9" t="n">
        <v>0</v>
      </c>
      <c r="G35" s="8" t="n">
        <v>1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8" t="n">
        <v>1</v>
      </c>
      <c r="U35" s="9" t="n">
        <v>0</v>
      </c>
    </row>
    <row r="36">
      <c r="A36" s="7" t="inlineStr">
        <is>
          <t>Antu Pala Dayak Kalimantan</t>
        </is>
      </c>
      <c r="B36" s="7" t="inlineStr">
        <is>
          <t>antu_pala_dayak_kalimantan</t>
        </is>
      </c>
      <c r="C36" s="7" t="inlineStr">
        <is>
          <t>Volant Viscerophage</t>
        </is>
      </c>
      <c r="D36" s="8" t="n">
        <v>1</v>
      </c>
      <c r="E36" s="9" t="n">
        <v>2</v>
      </c>
      <c r="F36" s="9" t="n">
        <v>0</v>
      </c>
      <c r="G36" s="8" t="n">
        <v>1</v>
      </c>
      <c r="H36" s="8" t="n">
        <v>1</v>
      </c>
      <c r="I36" s="9" t="n">
        <v>0</v>
      </c>
      <c r="J36" s="8" t="n">
        <v>1</v>
      </c>
      <c r="K36" s="8" t="n">
        <v>1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  <c r="S36" s="9" t="n">
        <v>0</v>
      </c>
      <c r="T36" s="8" t="n">
        <v>1</v>
      </c>
      <c r="U36" s="9" t="n">
        <v>0</v>
      </c>
    </row>
    <row r="37">
      <c r="A37" s="7" t="inlineStr">
        <is>
          <t>Hantu Belian Kalimantan</t>
        </is>
      </c>
      <c r="B37" s="7" t="inlineStr">
        <is>
          <t>hantu_belian_kalimantan</t>
        </is>
      </c>
      <c r="C37" s="7" t="inlineStr">
        <is>
          <t>TherianthropeShapeshifter</t>
        </is>
      </c>
      <c r="D37" s="8" t="n">
        <v>1</v>
      </c>
      <c r="E37" s="9" t="n">
        <v>2</v>
      </c>
      <c r="F37" s="9" t="n">
        <v>0</v>
      </c>
      <c r="G37" s="8" t="n">
        <v>1</v>
      </c>
      <c r="H37" s="9" t="n">
        <v>0</v>
      </c>
      <c r="I37" s="9" t="n">
        <v>0</v>
      </c>
      <c r="J37" s="9" t="n">
        <v>0</v>
      </c>
      <c r="K37" s="8" t="n">
        <v>1</v>
      </c>
      <c r="L37" s="9" t="n">
        <v>0</v>
      </c>
      <c r="M37" s="8" t="n">
        <v>1</v>
      </c>
      <c r="N37" s="8" t="n">
        <v>1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</row>
    <row r="38">
      <c r="A38" s="7" t="inlineStr">
        <is>
          <t>Tetek Arum Kalimantan</t>
        </is>
      </c>
      <c r="B38" s="7" t="inlineStr">
        <is>
          <t>tetek_arum_kalimantan</t>
        </is>
      </c>
      <c r="C38" s="7" t="inlineStr">
        <is>
          <t>Vengeful Female</t>
        </is>
      </c>
      <c r="D38" s="8" t="n">
        <v>1</v>
      </c>
      <c r="E38" s="8" t="n">
        <v>1</v>
      </c>
      <c r="F38" s="8" t="n">
        <v>1</v>
      </c>
      <c r="G38" s="9" t="n">
        <v>0</v>
      </c>
      <c r="H38" s="9" t="n">
        <v>0</v>
      </c>
      <c r="I38" s="8" t="n">
        <v>1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8" t="n">
        <v>1</v>
      </c>
      <c r="T38" s="9" t="n">
        <v>0</v>
      </c>
      <c r="U38" s="9" t="n">
        <v>0</v>
      </c>
    </row>
    <row r="39">
      <c r="A39" s="7" t="inlineStr">
        <is>
          <t>Bombo Toraja Sulawesi</t>
        </is>
      </c>
      <c r="B39" s="7" t="inlineStr">
        <is>
          <t>bombo_toraja_sulawesi</t>
        </is>
      </c>
      <c r="C39" s="7" t="inlineStr">
        <is>
          <t>UndeadRevenant</t>
        </is>
      </c>
      <c r="D39" s="8" t="n">
        <v>1</v>
      </c>
      <c r="E39" s="9" t="n">
        <v>2</v>
      </c>
      <c r="F39" s="8" t="n">
        <v>1</v>
      </c>
      <c r="G39" s="8" t="n">
        <v>1</v>
      </c>
      <c r="H39" s="9" t="n">
        <v>0</v>
      </c>
      <c r="I39" s="8" t="n">
        <v>1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8" t="n">
        <v>1</v>
      </c>
      <c r="T39" s="9" t="n">
        <v>0</v>
      </c>
      <c r="U39" s="9" t="n">
        <v>0</v>
      </c>
    </row>
    <row r="40">
      <c r="A40" s="7" t="inlineStr">
        <is>
          <t>Batitong Toraja Sulawesi</t>
        </is>
      </c>
      <c r="B40" s="7" t="inlineStr">
        <is>
          <t>batitong_toraja_sulawesi</t>
        </is>
      </c>
      <c r="C40" s="7" t="inlineStr">
        <is>
          <t>NatureAncestral Spirit</t>
        </is>
      </c>
      <c r="D40" s="8" t="n">
        <v>1</v>
      </c>
      <c r="E40" s="9" t="n">
        <v>2</v>
      </c>
      <c r="F40" s="9" t="n">
        <v>0</v>
      </c>
      <c r="G40" s="8" t="n">
        <v>1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8" t="n">
        <v>1</v>
      </c>
      <c r="S40" s="9" t="n">
        <v>0</v>
      </c>
      <c r="T40" s="9" t="n">
        <v>0</v>
      </c>
      <c r="U40" s="9" t="n">
        <v>0</v>
      </c>
    </row>
    <row r="41">
      <c r="A41" s="7" t="inlineStr">
        <is>
          <t>Tosalili Toraja Sulawesi</t>
        </is>
      </c>
      <c r="B41" s="7" t="inlineStr">
        <is>
          <t>tosalili_toraja_sulawesi</t>
        </is>
      </c>
      <c r="C41" s="7" t="inlineStr">
        <is>
          <t>Vengeful Female</t>
        </is>
      </c>
      <c r="D41" s="8" t="n">
        <v>1</v>
      </c>
      <c r="E41" s="8" t="n">
        <v>1</v>
      </c>
      <c r="F41" s="8" t="n">
        <v>1</v>
      </c>
      <c r="G41" s="9" t="n">
        <v>0</v>
      </c>
      <c r="H41" s="9" t="n">
        <v>0</v>
      </c>
      <c r="I41" s="8" t="n">
        <v>1</v>
      </c>
      <c r="J41" s="8" t="n">
        <v>1</v>
      </c>
      <c r="K41" s="8" t="n">
        <v>1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8" t="n">
        <v>1</v>
      </c>
      <c r="T41" s="9" t="n">
        <v>0</v>
      </c>
      <c r="U41" s="9" t="n">
        <v>0</v>
      </c>
    </row>
    <row r="42">
      <c r="A42" s="7" t="inlineStr">
        <is>
          <t>Poppo Bugis Sulawesi</t>
        </is>
      </c>
      <c r="B42" s="7" t="inlineStr">
        <is>
          <t>poppo_bugis_sulawesi</t>
        </is>
      </c>
      <c r="C42" s="7" t="inlineStr">
        <is>
          <t>Volant Viscerophage</t>
        </is>
      </c>
      <c r="D42" s="8" t="n">
        <v>1</v>
      </c>
      <c r="E42" s="9" t="n">
        <v>2</v>
      </c>
      <c r="F42" s="9" t="n">
        <v>0</v>
      </c>
      <c r="G42" s="9" t="n">
        <v>0</v>
      </c>
      <c r="H42" s="8" t="n">
        <v>1</v>
      </c>
      <c r="I42" s="9" t="n">
        <v>0</v>
      </c>
      <c r="J42" s="8" t="n">
        <v>1</v>
      </c>
      <c r="K42" s="8" t="n">
        <v>1</v>
      </c>
      <c r="L42" s="9" t="n">
        <v>0</v>
      </c>
      <c r="M42" s="9" t="n">
        <v>0</v>
      </c>
      <c r="N42" s="9" t="n">
        <v>0</v>
      </c>
      <c r="O42" s="8" t="n">
        <v>1</v>
      </c>
      <c r="P42" s="9" t="n">
        <v>0</v>
      </c>
      <c r="Q42" s="9" t="n">
        <v>0</v>
      </c>
      <c r="R42" s="9" t="n">
        <v>0</v>
      </c>
      <c r="S42" s="9" t="n">
        <v>0</v>
      </c>
      <c r="T42" s="8" t="n">
        <v>1</v>
      </c>
      <c r="U42" s="9" t="n">
        <v>0</v>
      </c>
    </row>
    <row r="43">
      <c r="A43" s="7" t="inlineStr">
        <is>
          <t>Bakkara Makassar Sulawesi</t>
        </is>
      </c>
      <c r="B43" s="7" t="inlineStr">
        <is>
          <t>bakkara_makassar_sulawesi</t>
        </is>
      </c>
      <c r="C43" s="7" t="inlineStr">
        <is>
          <t>TherianthropeShapeshifter</t>
        </is>
      </c>
      <c r="D43" s="8" t="n">
        <v>1</v>
      </c>
      <c r="E43" s="9" t="n">
        <v>2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8" t="n">
        <v>1</v>
      </c>
      <c r="L43" s="9" t="n">
        <v>0</v>
      </c>
      <c r="M43" s="8" t="n">
        <v>1</v>
      </c>
      <c r="N43" s="8" t="n">
        <v>1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</row>
    <row r="44">
      <c r="A44" s="7" t="inlineStr">
        <is>
          <t>Tandi Barane Sulawesi</t>
        </is>
      </c>
      <c r="B44" s="7" t="inlineStr">
        <is>
          <t>tandi_barane_sulawesi</t>
        </is>
      </c>
      <c r="C44" s="7" t="inlineStr">
        <is>
          <t>Hominid Cryptid</t>
        </is>
      </c>
      <c r="D44" s="8" t="n">
        <v>1</v>
      </c>
      <c r="E44" s="9" t="n">
        <v>2</v>
      </c>
      <c r="F44" s="9" t="n">
        <v>0</v>
      </c>
      <c r="G44" s="8" t="n">
        <v>1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8" t="n">
        <v>1</v>
      </c>
      <c r="N44" s="9" t="n">
        <v>0</v>
      </c>
      <c r="O44" s="9" t="n">
        <v>0</v>
      </c>
      <c r="P44" s="9" t="n">
        <v>0</v>
      </c>
      <c r="Q44" s="9" t="n">
        <v>0</v>
      </c>
      <c r="R44" s="8" t="n">
        <v>1</v>
      </c>
      <c r="S44" s="9" t="n">
        <v>0</v>
      </c>
      <c r="T44" s="9" t="n">
        <v>0</v>
      </c>
      <c r="U44" s="9" t="n">
        <v>0</v>
      </c>
    </row>
    <row r="45">
      <c r="A45" s="7" t="inlineStr">
        <is>
          <t>Suanggi Maluku</t>
        </is>
      </c>
      <c r="B45" s="7" t="inlineStr">
        <is>
          <t>suanggi_maluku_indonesia</t>
        </is>
      </c>
      <c r="C45" s="7" t="inlineStr">
        <is>
          <t>TherianthropeShapeshifter</t>
        </is>
      </c>
      <c r="D45" s="8" t="n">
        <v>1</v>
      </c>
      <c r="E45" s="9" t="n">
        <v>2</v>
      </c>
      <c r="F45" s="9" t="n">
        <v>0</v>
      </c>
      <c r="G45" s="8" t="n">
        <v>1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8" t="n">
        <v>1</v>
      </c>
      <c r="N45" s="8" t="n">
        <v>1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</row>
    <row r="46">
      <c r="A46" s="7" t="inlineStr">
        <is>
          <t>Momoa Maluku</t>
        </is>
      </c>
      <c r="B46" s="7" t="inlineStr">
        <is>
          <t>momoa_maluku_indonesia</t>
        </is>
      </c>
      <c r="C46" s="7" t="inlineStr">
        <is>
          <t>Hominid Cryptid</t>
        </is>
      </c>
      <c r="D46" s="8" t="n">
        <v>1</v>
      </c>
      <c r="E46" s="9" t="n">
        <v>2</v>
      </c>
      <c r="F46" s="9" t="n">
        <v>0</v>
      </c>
      <c r="G46" s="8" t="n">
        <v>1</v>
      </c>
      <c r="H46" s="9" t="n">
        <v>0</v>
      </c>
      <c r="I46" s="9" t="n">
        <v>0</v>
      </c>
      <c r="J46" s="8" t="n">
        <v>1</v>
      </c>
      <c r="K46" s="8" t="n">
        <v>1</v>
      </c>
      <c r="L46" s="9" t="n">
        <v>0</v>
      </c>
      <c r="M46" s="8" t="n">
        <v>1</v>
      </c>
      <c r="N46" s="9" t="n">
        <v>0</v>
      </c>
      <c r="O46" s="9" t="n">
        <v>0</v>
      </c>
      <c r="P46" s="9" t="n">
        <v>0</v>
      </c>
      <c r="Q46" s="9" t="n">
        <v>0</v>
      </c>
      <c r="R46" s="8" t="n">
        <v>1</v>
      </c>
      <c r="S46" s="9" t="n">
        <v>0</v>
      </c>
      <c r="T46" s="9" t="n">
        <v>0</v>
      </c>
      <c r="U46" s="9" t="n">
        <v>0</v>
      </c>
    </row>
    <row r="47">
      <c r="A47" s="7" t="inlineStr">
        <is>
          <t>Nitu Maluku</t>
        </is>
      </c>
      <c r="B47" s="7" t="inlineStr">
        <is>
          <t>nitu_maluku_indonesia</t>
        </is>
      </c>
      <c r="C47" s="7" t="inlineStr">
        <is>
          <t>UndeadRevenant</t>
        </is>
      </c>
      <c r="D47" s="8" t="n">
        <v>1</v>
      </c>
      <c r="E47" s="9" t="n">
        <v>2</v>
      </c>
      <c r="F47" s="8" t="n">
        <v>1</v>
      </c>
      <c r="G47" s="8" t="n">
        <v>1</v>
      </c>
      <c r="H47" s="9" t="n">
        <v>0</v>
      </c>
      <c r="I47" s="8" t="n">
        <v>1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8" t="n">
        <v>1</v>
      </c>
      <c r="T47" s="9" t="n">
        <v>0</v>
      </c>
      <c r="U47" s="9" t="n">
        <v>0</v>
      </c>
    </row>
    <row r="48">
      <c r="A48" s="7" t="inlineStr">
        <is>
          <t>Ina Ama Maluku</t>
        </is>
      </c>
      <c r="B48" s="7" t="inlineStr">
        <is>
          <t>ina_ama_maluku_indonesia</t>
        </is>
      </c>
      <c r="C48" s="7" t="inlineStr">
        <is>
          <t>Vengeful Female</t>
        </is>
      </c>
      <c r="D48" s="8" t="n">
        <v>1</v>
      </c>
      <c r="E48" s="8" t="n">
        <v>1</v>
      </c>
      <c r="F48" s="8" t="n">
        <v>1</v>
      </c>
      <c r="G48" s="9" t="n">
        <v>0</v>
      </c>
      <c r="H48" s="9" t="n">
        <v>0</v>
      </c>
      <c r="I48" s="8" t="n">
        <v>1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0</v>
      </c>
      <c r="S48" s="8" t="n">
        <v>1</v>
      </c>
      <c r="T48" s="9" t="n">
        <v>0</v>
      </c>
      <c r="U48" s="9" t="n">
        <v>0</v>
      </c>
    </row>
    <row r="49">
      <c r="A49" s="7" t="inlineStr">
        <is>
          <t>Orang Bati Seram</t>
        </is>
      </c>
      <c r="B49" s="7" t="inlineStr">
        <is>
          <t>orang_bati_seram_indonesia</t>
        </is>
      </c>
      <c r="C49" s="7" t="inlineStr">
        <is>
          <t>Volant Cryptid</t>
        </is>
      </c>
      <c r="D49" s="8" t="n">
        <v>1</v>
      </c>
      <c r="E49" s="9" t="n">
        <v>2</v>
      </c>
      <c r="F49" s="9" t="n">
        <v>0</v>
      </c>
      <c r="G49" s="8" t="n">
        <v>1</v>
      </c>
      <c r="H49" s="8" t="n">
        <v>1</v>
      </c>
      <c r="I49" s="9" t="n">
        <v>0</v>
      </c>
      <c r="J49" s="9" t="n">
        <v>0</v>
      </c>
      <c r="K49" s="8" t="n">
        <v>1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8" t="n">
        <v>1</v>
      </c>
      <c r="S49" s="9" t="n">
        <v>0</v>
      </c>
      <c r="T49" s="9" t="n">
        <v>0</v>
      </c>
      <c r="U49" s="9" t="n">
        <v>0</v>
      </c>
    </row>
    <row r="50">
      <c r="A50" s="7" t="inlineStr">
        <is>
          <t>Ebu Gogo Flores</t>
        </is>
      </c>
      <c r="B50" s="7" t="inlineStr">
        <is>
          <t>ebu_gogo_flores_indonesia</t>
        </is>
      </c>
      <c r="C50" s="7" t="inlineStr">
        <is>
          <t>Hominid Cryptid</t>
        </is>
      </c>
      <c r="D50" s="8" t="n">
        <v>1</v>
      </c>
      <c r="E50" s="9" t="n">
        <v>2</v>
      </c>
      <c r="F50" s="9" t="n">
        <v>0</v>
      </c>
      <c r="G50" s="8" t="n">
        <v>1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8" t="n">
        <v>1</v>
      </c>
      <c r="N50" s="9" t="n">
        <v>0</v>
      </c>
      <c r="O50" s="9" t="n">
        <v>0</v>
      </c>
      <c r="P50" s="9" t="n">
        <v>0</v>
      </c>
      <c r="Q50" s="9" t="n">
        <v>0</v>
      </c>
      <c r="R50" s="8" t="n">
        <v>1</v>
      </c>
      <c r="S50" s="9" t="n">
        <v>0</v>
      </c>
      <c r="T50" s="9" t="n">
        <v>0</v>
      </c>
      <c r="U50" s="9" t="n">
        <v>0</v>
      </c>
    </row>
    <row r="51">
      <c r="A51" s="7" t="inlineStr">
        <is>
          <t>Senggiq Lombok</t>
        </is>
      </c>
      <c r="B51" s="7" t="inlineStr">
        <is>
          <t>senggiq_lombok_indonesia</t>
        </is>
      </c>
      <c r="C51" s="7" t="inlineStr">
        <is>
          <t>Vengeful Female</t>
        </is>
      </c>
      <c r="D51" s="8" t="n">
        <v>1</v>
      </c>
      <c r="E51" s="8" t="n">
        <v>1</v>
      </c>
      <c r="F51" s="8" t="n">
        <v>1</v>
      </c>
      <c r="G51" s="9" t="n">
        <v>0</v>
      </c>
      <c r="H51" s="9" t="n">
        <v>0</v>
      </c>
      <c r="I51" s="8" t="n">
        <v>1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8" t="n">
        <v>1</v>
      </c>
      <c r="T51" s="9" t="n">
        <v>0</v>
      </c>
      <c r="U51" s="9" t="n">
        <v>0</v>
      </c>
    </row>
    <row r="52">
      <c r="A52" s="7" t="inlineStr">
        <is>
          <t>Leak Lombok Ntt</t>
        </is>
      </c>
      <c r="B52" s="7" t="inlineStr">
        <is>
          <t>leak_lombok_ntt</t>
        </is>
      </c>
      <c r="C52" s="7" t="inlineStr">
        <is>
          <t>TherianthropeShapeshifter</t>
        </is>
      </c>
      <c r="D52" s="8" t="n">
        <v>1</v>
      </c>
      <c r="E52" s="9" t="n">
        <v>2</v>
      </c>
      <c r="F52" s="9" t="n">
        <v>0</v>
      </c>
      <c r="G52" s="9" t="n">
        <v>0</v>
      </c>
      <c r="H52" s="8" t="n">
        <v>1</v>
      </c>
      <c r="I52" s="8" t="n">
        <v>1</v>
      </c>
      <c r="J52" s="8" t="n">
        <v>1</v>
      </c>
      <c r="K52" s="8" t="n">
        <v>1</v>
      </c>
      <c r="L52" s="9" t="n">
        <v>0</v>
      </c>
      <c r="M52" s="9" t="n">
        <v>0</v>
      </c>
      <c r="N52" s="8" t="n">
        <v>1</v>
      </c>
      <c r="O52" s="8" t="n">
        <v>1</v>
      </c>
      <c r="P52" s="8" t="n">
        <v>1</v>
      </c>
      <c r="Q52" s="9" t="n">
        <v>0</v>
      </c>
      <c r="R52" s="9" t="n">
        <v>0</v>
      </c>
      <c r="S52" s="9" t="n">
        <v>0</v>
      </c>
      <c r="T52" s="8" t="n">
        <v>1</v>
      </c>
      <c r="U52" s="9" t="n">
        <v>0</v>
      </c>
    </row>
    <row r="53">
      <c r="A53" s="7" t="inlineStr">
        <is>
          <t>Naga Ntt</t>
        </is>
      </c>
      <c r="B53" s="7" t="inlineStr">
        <is>
          <t>naga_ntt_indonesia</t>
        </is>
      </c>
      <c r="C53" s="7" t="inlineStr">
        <is>
          <t>NatureAncestral Spirit</t>
        </is>
      </c>
      <c r="D53" s="9" t="n">
        <v>0</v>
      </c>
      <c r="E53" s="9" t="n">
        <v>2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8" t="n">
        <v>1</v>
      </c>
      <c r="R53" s="8" t="n">
        <v>1</v>
      </c>
      <c r="S53" s="9" t="n">
        <v>0</v>
      </c>
      <c r="T53" s="9" t="n">
        <v>0</v>
      </c>
      <c r="U53" s="9" t="n">
        <v>0</v>
      </c>
    </row>
    <row r="54">
      <c r="A54" s="7" t="inlineStr">
        <is>
          <t>Kelimutu Spirit Flores</t>
        </is>
      </c>
      <c r="B54" s="7" t="inlineStr">
        <is>
          <t>kelimutu_spirit_flores_indonesia</t>
        </is>
      </c>
      <c r="C54" s="7" t="inlineStr">
        <is>
          <t>NatureAncestral Spirit</t>
        </is>
      </c>
      <c r="D54" s="8" t="n">
        <v>1</v>
      </c>
      <c r="E54" s="9" t="n">
        <v>2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8" t="n">
        <v>1</v>
      </c>
      <c r="S54" s="9" t="n">
        <v>0</v>
      </c>
      <c r="T54" s="9" t="n">
        <v>0</v>
      </c>
      <c r="U54" s="9" t="n">
        <v>0</v>
      </c>
    </row>
    <row r="55">
      <c r="A55" s="7" t="inlineStr">
        <is>
          <t>Homang Papua</t>
        </is>
      </c>
      <c r="B55" s="7" t="inlineStr">
        <is>
          <t>homang_papua_indonesia</t>
        </is>
      </c>
      <c r="C55" s="7" t="inlineStr">
        <is>
          <t>TherianthropeShapeshifter</t>
        </is>
      </c>
      <c r="D55" s="8" t="n">
        <v>1</v>
      </c>
      <c r="E55" s="9" t="n">
        <v>2</v>
      </c>
      <c r="F55" s="9" t="n">
        <v>0</v>
      </c>
      <c r="G55" s="8" t="n">
        <v>1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8" t="n">
        <v>1</v>
      </c>
      <c r="N55" s="8" t="n">
        <v>1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</row>
    <row r="56">
      <c r="A56" s="7" t="inlineStr">
        <is>
          <t>Kaiamunu Papua</t>
        </is>
      </c>
      <c r="B56" s="7" t="inlineStr">
        <is>
          <t>kaiamunu_papua_indonesia</t>
        </is>
      </c>
      <c r="C56" s="7" t="inlineStr">
        <is>
          <t>Volant Cryptid</t>
        </is>
      </c>
      <c r="D56" s="9" t="n">
        <v>0</v>
      </c>
      <c r="E56" s="9" t="n">
        <v>2</v>
      </c>
      <c r="F56" s="9" t="n">
        <v>0</v>
      </c>
      <c r="G56" s="8" t="n">
        <v>1</v>
      </c>
      <c r="H56" s="8" t="n">
        <v>1</v>
      </c>
      <c r="I56" s="9" t="n">
        <v>0</v>
      </c>
      <c r="J56" s="9" t="n">
        <v>0</v>
      </c>
      <c r="K56" s="8" t="n">
        <v>1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8" t="n">
        <v>1</v>
      </c>
      <c r="R56" s="8" t="n">
        <v>1</v>
      </c>
      <c r="S56" s="9" t="n">
        <v>0</v>
      </c>
      <c r="T56" s="9" t="n">
        <v>0</v>
      </c>
      <c r="U56" s="9" t="n">
        <v>0</v>
      </c>
    </row>
    <row r="57">
      <c r="A57" s="7" t="inlineStr">
        <is>
          <t>Kapre Papua</t>
        </is>
      </c>
      <c r="B57" s="7" t="inlineStr">
        <is>
          <t>kapre_papua_indonesia</t>
        </is>
      </c>
      <c r="C57" s="7" t="inlineStr">
        <is>
          <t>Hominid Cryptid</t>
        </is>
      </c>
      <c r="D57" s="8" t="n">
        <v>1</v>
      </c>
      <c r="E57" s="9" t="n">
        <v>2</v>
      </c>
      <c r="F57" s="9" t="n">
        <v>0</v>
      </c>
      <c r="G57" s="8" t="n">
        <v>1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8" t="n">
        <v>1</v>
      </c>
      <c r="N57" s="9" t="n">
        <v>0</v>
      </c>
      <c r="O57" s="9" t="n">
        <v>0</v>
      </c>
      <c r="P57" s="9" t="n">
        <v>0</v>
      </c>
      <c r="Q57" s="9" t="n">
        <v>0</v>
      </c>
      <c r="R57" s="8" t="n">
        <v>1</v>
      </c>
      <c r="S57" s="9" t="n">
        <v>0</v>
      </c>
      <c r="T57" s="9" t="n">
        <v>0</v>
      </c>
      <c r="U57" s="9" t="n">
        <v>0</v>
      </c>
    </row>
    <row r="58">
      <c r="A58" s="7" t="inlineStr">
        <is>
          <t>Bake Asmat Papua</t>
        </is>
      </c>
      <c r="B58" s="7" t="inlineStr">
        <is>
          <t>bake_asmat_papua_indonesia</t>
        </is>
      </c>
      <c r="C58" s="7" t="inlineStr">
        <is>
          <t>UndeadRevenant</t>
        </is>
      </c>
      <c r="D58" s="8" t="n">
        <v>1</v>
      </c>
      <c r="E58" s="9" t="n">
        <v>2</v>
      </c>
      <c r="F58" s="8" t="n">
        <v>1</v>
      </c>
      <c r="G58" s="8" t="n">
        <v>1</v>
      </c>
      <c r="H58" s="9" t="n">
        <v>0</v>
      </c>
      <c r="I58" s="8" t="n">
        <v>1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0</v>
      </c>
      <c r="S58" s="8" t="n">
        <v>1</v>
      </c>
      <c r="T58" s="9" t="n">
        <v>0</v>
      </c>
      <c r="U58" s="9" t="n">
        <v>0</v>
      </c>
    </row>
    <row r="59">
      <c r="A59" s="7" t="inlineStr">
        <is>
          <t>Ndope Sentani Papua</t>
        </is>
      </c>
      <c r="B59" s="7" t="inlineStr">
        <is>
          <t>ndope_sentani_papua_indonesia</t>
        </is>
      </c>
      <c r="C59" s="7" t="inlineStr">
        <is>
          <t>Vengeful Female</t>
        </is>
      </c>
      <c r="D59" s="8" t="n">
        <v>1</v>
      </c>
      <c r="E59" s="8" t="n">
        <v>1</v>
      </c>
      <c r="F59" s="8" t="n">
        <v>1</v>
      </c>
      <c r="G59" s="9" t="n">
        <v>0</v>
      </c>
      <c r="H59" s="9" t="n">
        <v>0</v>
      </c>
      <c r="I59" s="8" t="n">
        <v>1</v>
      </c>
      <c r="J59" s="8" t="n">
        <v>1</v>
      </c>
      <c r="K59" s="8" t="n">
        <v>1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8" t="n">
        <v>1</v>
      </c>
      <c r="T59" s="9" t="n">
        <v>0</v>
      </c>
      <c r="U59" s="9" t="n">
        <v>0</v>
      </c>
    </row>
    <row r="60">
      <c r="A60" s="7" t="inlineStr">
        <is>
          <t>Lampor Java</t>
        </is>
      </c>
      <c r="B60" s="7" t="inlineStr">
        <is>
          <t>lampor_java_indonesia</t>
        </is>
      </c>
      <c r="C60" s="7" t="inlineStr">
        <is>
          <t>ElementalDemonic</t>
        </is>
      </c>
      <c r="D60" s="9" t="n">
        <v>0</v>
      </c>
      <c r="E60" s="9" t="n">
        <v>2</v>
      </c>
      <c r="F60" s="9" t="n">
        <v>0</v>
      </c>
      <c r="G60" s="9" t="n">
        <v>0</v>
      </c>
      <c r="H60" s="8" t="n">
        <v>1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0</v>
      </c>
      <c r="S60" s="9" t="n">
        <v>0</v>
      </c>
      <c r="T60" s="8" t="n">
        <v>1</v>
      </c>
      <c r="U60" s="9" t="n">
        <v>0</v>
      </c>
    </row>
    <row r="61">
      <c r="A61" s="7" t="inlineStr">
        <is>
          <t>Wedon Java</t>
        </is>
      </c>
      <c r="B61" s="7" t="inlineStr">
        <is>
          <t>wedon_java_indonesia</t>
        </is>
      </c>
      <c r="C61" s="7" t="inlineStr">
        <is>
          <t>Vengeful Female</t>
        </is>
      </c>
      <c r="D61" s="8" t="n">
        <v>1</v>
      </c>
      <c r="E61" s="8" t="n">
        <v>1</v>
      </c>
      <c r="F61" s="8" t="n">
        <v>1</v>
      </c>
      <c r="G61" s="9" t="n">
        <v>0</v>
      </c>
      <c r="H61" s="9" t="n">
        <v>0</v>
      </c>
      <c r="I61" s="8" t="n">
        <v>1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8" t="n">
        <v>1</v>
      </c>
      <c r="T61" s="9" t="n">
        <v>0</v>
      </c>
      <c r="U61" s="9" t="n">
        <v>0</v>
      </c>
    </row>
    <row r="62">
      <c r="A62" s="7" t="inlineStr">
        <is>
          <t>Kepala Buntung Java</t>
        </is>
      </c>
      <c r="B62" s="7" t="inlineStr">
        <is>
          <t>kepala_buntung_java_indonesia</t>
        </is>
      </c>
      <c r="C62" s="7" t="inlineStr">
        <is>
          <t>Volant Viscerophage</t>
        </is>
      </c>
      <c r="D62" s="8" t="n">
        <v>1</v>
      </c>
      <c r="E62" s="9" t="n">
        <v>2</v>
      </c>
      <c r="F62" s="9" t="n">
        <v>0</v>
      </c>
      <c r="G62" s="9" t="n">
        <v>0</v>
      </c>
      <c r="H62" s="8" t="n">
        <v>1</v>
      </c>
      <c r="I62" s="9" t="n">
        <v>0</v>
      </c>
      <c r="J62" s="8" t="n">
        <v>1</v>
      </c>
      <c r="K62" s="8" t="n">
        <v>1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0</v>
      </c>
      <c r="S62" s="9" t="n">
        <v>0</v>
      </c>
      <c r="T62" s="8" t="n">
        <v>1</v>
      </c>
      <c r="U62" s="9" t="n">
        <v>0</v>
      </c>
    </row>
    <row r="63">
      <c r="A63" s="7" t="inlineStr">
        <is>
          <t>Pontianak</t>
        </is>
      </c>
      <c r="B63" s="7" t="inlineStr">
        <is>
          <t>pontianak_kalimantan_indonesia</t>
        </is>
      </c>
      <c r="C63" s="7" t="inlineStr">
        <is>
          <t>Vengeful Female</t>
        </is>
      </c>
      <c r="D63" s="8" t="n">
        <v>1</v>
      </c>
      <c r="E63" s="8" t="n">
        <v>1</v>
      </c>
      <c r="F63" s="8" t="n">
        <v>1</v>
      </c>
      <c r="G63" s="9" t="n">
        <v>0</v>
      </c>
      <c r="H63" s="8" t="n">
        <v>1</v>
      </c>
      <c r="I63" s="9" t="n">
        <v>0</v>
      </c>
      <c r="J63" s="8" t="n">
        <v>1</v>
      </c>
      <c r="K63" s="8" t="n">
        <v>1</v>
      </c>
      <c r="L63" s="8" t="n">
        <v>1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8" t="n">
        <v>1</v>
      </c>
      <c r="T63" s="8" t="n">
        <v>1</v>
      </c>
      <c r="U63" s="9" t="n">
        <v>0</v>
      </c>
    </row>
    <row r="64">
      <c r="A64" s="7" t="inlineStr">
        <is>
          <t>Kuntilanak Merah</t>
        </is>
      </c>
      <c r="B64" s="7" t="inlineStr">
        <is>
          <t>kuntilanak_merah_java_indonesia</t>
        </is>
      </c>
      <c r="C64" s="7" t="inlineStr">
        <is>
          <t>Vengeful Female</t>
        </is>
      </c>
      <c r="D64" s="8" t="n">
        <v>1</v>
      </c>
      <c r="E64" s="8" t="n">
        <v>1</v>
      </c>
      <c r="F64" s="8" t="n">
        <v>1</v>
      </c>
      <c r="G64" s="9" t="n">
        <v>0</v>
      </c>
      <c r="H64" s="8" t="n">
        <v>1</v>
      </c>
      <c r="I64" s="9" t="n">
        <v>0</v>
      </c>
      <c r="J64" s="8" t="n">
        <v>1</v>
      </c>
      <c r="K64" s="8" t="n">
        <v>1</v>
      </c>
      <c r="L64" s="8" t="n">
        <v>1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0</v>
      </c>
      <c r="S64" s="8" t="n">
        <v>1</v>
      </c>
      <c r="T64" s="8" t="n">
        <v>1</v>
      </c>
      <c r="U64" s="9" t="n">
        <v>0</v>
      </c>
    </row>
    <row r="65">
      <c r="A65" s="7" t="inlineStr">
        <is>
          <t>Nyai Blorong</t>
        </is>
      </c>
      <c r="B65" s="7" t="inlineStr">
        <is>
          <t>nyai_blorong_java_indonesia</t>
        </is>
      </c>
      <c r="C65" s="7" t="inlineStr">
        <is>
          <t>Therianthrope / Shapeshifter</t>
        </is>
      </c>
      <c r="D65" s="8" t="n">
        <v>1</v>
      </c>
      <c r="E65" s="9" t="n">
        <v>2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8" t="n">
        <v>1</v>
      </c>
      <c r="O65" s="9" t="n">
        <v>0</v>
      </c>
      <c r="P65" s="9" t="n">
        <v>0</v>
      </c>
      <c r="Q65" s="9" t="n">
        <v>0</v>
      </c>
      <c r="R65" s="8" t="n">
        <v>1</v>
      </c>
      <c r="S65" s="9" t="n">
        <v>0</v>
      </c>
      <c r="T65" s="9" t="n">
        <v>0</v>
      </c>
      <c r="U65" s="8" t="n">
        <v>1</v>
      </c>
    </row>
    <row r="66">
      <c r="A66" s="7" t="inlineStr">
        <is>
          <t>Dewi Lanjar</t>
        </is>
      </c>
      <c r="B66" s="7" t="inlineStr">
        <is>
          <t>dewi_lanjar_java_indonesia</t>
        </is>
      </c>
      <c r="C66" s="7" t="inlineStr">
        <is>
          <t>Nature / Ancestral Spirit</t>
        </is>
      </c>
      <c r="D66" s="8" t="n">
        <v>1</v>
      </c>
      <c r="E66" s="8" t="n">
        <v>1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8" t="n">
        <v>1</v>
      </c>
      <c r="S66" s="8" t="n">
        <v>1</v>
      </c>
      <c r="T66" s="9" t="n">
        <v>0</v>
      </c>
      <c r="U66" s="9" t="n">
        <v>0</v>
      </c>
    </row>
    <row r="67">
      <c r="A67" s="7" t="inlineStr">
        <is>
          <t>Nyi Pelet</t>
        </is>
      </c>
      <c r="B67" s="7" t="inlineStr">
        <is>
          <t>nyi_pelet_java_indonesia</t>
        </is>
      </c>
      <c r="C67" s="7" t="inlineStr">
        <is>
          <t>Elemental / Demonic</t>
        </is>
      </c>
      <c r="D67" s="8" t="n">
        <v>1</v>
      </c>
      <c r="E67" s="8" t="n">
        <v>1</v>
      </c>
      <c r="F67" s="9" t="n">
        <v>0</v>
      </c>
      <c r="G67" s="8" t="n">
        <v>1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8" t="n">
        <v>1</v>
      </c>
      <c r="T67" s="8" t="n">
        <v>1</v>
      </c>
      <c r="U67" s="8" t="n">
        <v>1</v>
      </c>
    </row>
    <row r="68">
      <c r="A68" s="7" t="inlineStr">
        <is>
          <t>Calon Arang</t>
        </is>
      </c>
      <c r="B68" s="7" t="inlineStr">
        <is>
          <t>calon_arang_java_bali</t>
        </is>
      </c>
      <c r="C68" s="7" t="inlineStr">
        <is>
          <t>Elemental / Demonic</t>
        </is>
      </c>
      <c r="D68" s="8" t="n">
        <v>1</v>
      </c>
      <c r="E68" s="9" t="n">
        <v>2</v>
      </c>
      <c r="F68" s="9" t="n">
        <v>0</v>
      </c>
      <c r="G68" s="8" t="n">
        <v>1</v>
      </c>
      <c r="H68" s="9" t="n">
        <v>0</v>
      </c>
      <c r="I68" s="9" t="n">
        <v>0</v>
      </c>
      <c r="J68" s="8" t="n">
        <v>1</v>
      </c>
      <c r="K68" s="9" t="n">
        <v>0</v>
      </c>
      <c r="L68" s="9" t="n">
        <v>0</v>
      </c>
      <c r="M68" s="9" t="n">
        <v>0</v>
      </c>
      <c r="N68" s="9" t="n">
        <v>0</v>
      </c>
      <c r="O68" s="8" t="n">
        <v>1</v>
      </c>
      <c r="P68" s="9" t="n">
        <v>0</v>
      </c>
      <c r="Q68" s="9" t="n">
        <v>0</v>
      </c>
      <c r="R68" s="9" t="n">
        <v>0</v>
      </c>
      <c r="S68" s="8" t="n">
        <v>1</v>
      </c>
      <c r="T68" s="8" t="n">
        <v>1</v>
      </c>
      <c r="U68" s="8" t="n">
        <v>1</v>
      </c>
    </row>
    <row r="69">
      <c r="A69" s="7" t="inlineStr">
        <is>
          <t>Kolor Ijo</t>
        </is>
      </c>
      <c r="B69" s="7" t="inlineStr">
        <is>
          <t>kolor_ijo_java_indonesia</t>
        </is>
      </c>
      <c r="C69" s="7" t="inlineStr">
        <is>
          <t>Elemental / Demonic</t>
        </is>
      </c>
      <c r="D69" s="8" t="n">
        <v>1</v>
      </c>
      <c r="E69" s="9" t="n">
        <v>2</v>
      </c>
      <c r="F69" s="9" t="n">
        <v>0</v>
      </c>
      <c r="G69" s="8" t="n">
        <v>1</v>
      </c>
      <c r="H69" s="9" t="n">
        <v>0</v>
      </c>
      <c r="I69" s="9" t="n">
        <v>0</v>
      </c>
      <c r="J69" s="9" t="n">
        <v>0</v>
      </c>
      <c r="K69" s="9" t="n">
        <v>0</v>
      </c>
      <c r="L69" s="8" t="n">
        <v>1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8" t="n">
        <v>1</v>
      </c>
      <c r="T69" s="9" t="n">
        <v>0</v>
      </c>
      <c r="U69" s="8" t="n">
        <v>1</v>
      </c>
    </row>
    <row r="70">
      <c r="A70" s="7" t="inlineStr">
        <is>
          <t>Pastur Kepala Buntung</t>
        </is>
      </c>
      <c r="B70" s="7" t="inlineStr">
        <is>
          <t>pastur_kepala_buntung_java</t>
        </is>
      </c>
      <c r="C70" s="7" t="inlineStr">
        <is>
          <t>Undead / Revenant</t>
        </is>
      </c>
      <c r="D70" s="8" t="n">
        <v>1</v>
      </c>
      <c r="E70" s="9" t="n">
        <v>2</v>
      </c>
      <c r="F70" s="8" t="n">
        <v>1</v>
      </c>
      <c r="G70" s="9" t="n">
        <v>0</v>
      </c>
      <c r="H70" s="8" t="n">
        <v>1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0</v>
      </c>
      <c r="S70" s="8" t="n">
        <v>1</v>
      </c>
      <c r="T70" s="9" t="n">
        <v>0</v>
      </c>
      <c r="U70" s="8" t="n">
        <v>1</v>
      </c>
    </row>
    <row r="71">
      <c r="A71" s="7" t="inlineStr">
        <is>
          <t>Hantu Jeruk Purut</t>
        </is>
      </c>
      <c r="B71" s="7" t="inlineStr">
        <is>
          <t>hantu_jeruk_purut_java</t>
        </is>
      </c>
      <c r="C71" s="7" t="inlineStr">
        <is>
          <t>Undead / Revenant</t>
        </is>
      </c>
      <c r="D71" s="8" t="n">
        <v>1</v>
      </c>
      <c r="E71" s="9" t="n">
        <v>2</v>
      </c>
      <c r="F71" s="8" t="n">
        <v>1</v>
      </c>
      <c r="G71" s="9" t="n">
        <v>0</v>
      </c>
      <c r="H71" s="8" t="n">
        <v>1</v>
      </c>
      <c r="I71" s="9" t="n">
        <v>0</v>
      </c>
      <c r="J71" s="9" t="n">
        <v>0</v>
      </c>
      <c r="K71" s="8" t="n">
        <v>1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8" t="n">
        <v>1</v>
      </c>
      <c r="R71" s="9" t="n">
        <v>0</v>
      </c>
      <c r="S71" s="8" t="n">
        <v>1</v>
      </c>
      <c r="T71" s="9" t="n">
        <v>0</v>
      </c>
      <c r="U71" s="8" t="n">
        <v>1</v>
      </c>
    </row>
    <row r="72">
      <c r="A72" s="7" t="inlineStr">
        <is>
          <t>Kereta Hantu Manggarai</t>
        </is>
      </c>
      <c r="B72" s="7" t="inlineStr">
        <is>
          <t>kereta_hantu_manggarai_java</t>
        </is>
      </c>
      <c r="C72" s="7" t="inlineStr">
        <is>
          <t>Undead / Revenant</t>
        </is>
      </c>
      <c r="D72" s="9" t="n">
        <v>0</v>
      </c>
      <c r="E72" s="9" t="n">
        <v>2</v>
      </c>
      <c r="F72" s="8" t="n">
        <v>1</v>
      </c>
      <c r="G72" s="9" t="n">
        <v>0</v>
      </c>
      <c r="H72" s="8" t="n">
        <v>1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8" t="n">
        <v>1</v>
      </c>
    </row>
    <row r="73">
      <c r="A73" s="7" t="inlineStr">
        <is>
          <t>Hantu Ambulans Bandung</t>
        </is>
      </c>
      <c r="B73" s="7" t="inlineStr">
        <is>
          <t>hantu_ambulans_bandung_java</t>
        </is>
      </c>
      <c r="C73" s="7" t="inlineStr">
        <is>
          <t>Undead / Revenant</t>
        </is>
      </c>
      <c r="D73" s="9" t="n">
        <v>0</v>
      </c>
      <c r="E73" s="9" t="n">
        <v>2</v>
      </c>
      <c r="F73" s="8" t="n">
        <v>1</v>
      </c>
      <c r="G73" s="9" t="n">
        <v>0</v>
      </c>
      <c r="H73" s="8" t="n">
        <v>1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8" t="n">
        <v>1</v>
      </c>
    </row>
    <row r="74">
      <c r="A74" s="7" t="inlineStr">
        <is>
          <t>Mak Lampir</t>
        </is>
      </c>
      <c r="B74" s="7" t="inlineStr">
        <is>
          <t>mak_lampir_java_indonesia</t>
        </is>
      </c>
      <c r="C74" s="7" t="inlineStr">
        <is>
          <t>Elemental / Demonic</t>
        </is>
      </c>
      <c r="D74" s="8" t="n">
        <v>1</v>
      </c>
      <c r="E74" s="9" t="n">
        <v>2</v>
      </c>
      <c r="F74" s="9" t="n">
        <v>0</v>
      </c>
      <c r="G74" s="8" t="n">
        <v>1</v>
      </c>
      <c r="H74" s="9" t="n">
        <v>0</v>
      </c>
      <c r="I74" s="9" t="n">
        <v>0</v>
      </c>
      <c r="J74" s="8" t="n">
        <v>1</v>
      </c>
      <c r="K74" s="9" t="n">
        <v>0</v>
      </c>
      <c r="L74" s="9" t="n">
        <v>0</v>
      </c>
      <c r="M74" s="9" t="n">
        <v>0</v>
      </c>
      <c r="N74" s="9" t="n">
        <v>0</v>
      </c>
      <c r="O74" s="8" t="n">
        <v>1</v>
      </c>
      <c r="P74" s="9" t="n">
        <v>0</v>
      </c>
      <c r="Q74" s="9" t="n">
        <v>0</v>
      </c>
      <c r="R74" s="9" t="n">
        <v>0</v>
      </c>
      <c r="S74" s="8" t="n">
        <v>1</v>
      </c>
      <c r="T74" s="8" t="n">
        <v>1</v>
      </c>
      <c r="U74" s="8" t="n">
        <v>1</v>
      </c>
    </row>
    <row r="75">
      <c r="A75" s="7" t="inlineStr">
        <is>
          <t>Grandong</t>
        </is>
      </c>
      <c r="B75" s="7" t="inlineStr">
        <is>
          <t>grandong_java_indonesia</t>
        </is>
      </c>
      <c r="C75" s="7" t="inlineStr">
        <is>
          <t>Pesugihan / Wealth Demon</t>
        </is>
      </c>
      <c r="D75" s="9" t="n">
        <v>0</v>
      </c>
      <c r="E75" s="9" t="n">
        <v>2</v>
      </c>
      <c r="F75" s="9" t="n">
        <v>0</v>
      </c>
      <c r="G75" s="8" t="n">
        <v>1</v>
      </c>
      <c r="H75" s="9" t="n">
        <v>0</v>
      </c>
      <c r="I75" s="9" t="n">
        <v>0</v>
      </c>
      <c r="J75" s="9" t="n">
        <v>0</v>
      </c>
      <c r="K75" s="9" t="n">
        <v>0</v>
      </c>
      <c r="L75" s="8" t="n">
        <v>1</v>
      </c>
      <c r="M75" s="8" t="n">
        <v>1</v>
      </c>
      <c r="N75" s="9" t="n">
        <v>0</v>
      </c>
      <c r="O75" s="9" t="n">
        <v>0</v>
      </c>
      <c r="P75" s="8" t="n">
        <v>1</v>
      </c>
      <c r="Q75" s="9" t="n">
        <v>0</v>
      </c>
      <c r="R75" s="9" t="n">
        <v>0</v>
      </c>
      <c r="S75" s="9" t="n">
        <v>0</v>
      </c>
      <c r="T75" s="8" t="n">
        <v>1</v>
      </c>
      <c r="U75" s="8" t="n">
        <v>1</v>
      </c>
    </row>
    <row r="76">
      <c r="A76" s="7" t="inlineStr">
        <is>
          <t>Pocong Merah</t>
        </is>
      </c>
      <c r="B76" s="7" t="inlineStr">
        <is>
          <t>pocong_merah_java_indonesia</t>
        </is>
      </c>
      <c r="C76" s="7" t="inlineStr">
        <is>
          <t>Undead / Revenant</t>
        </is>
      </c>
      <c r="D76" s="8" t="n">
        <v>1</v>
      </c>
      <c r="E76" s="9" t="n">
        <v>2</v>
      </c>
      <c r="F76" s="8" t="n">
        <v>1</v>
      </c>
      <c r="G76" s="8" t="n">
        <v>1</v>
      </c>
      <c r="H76" s="8" t="n">
        <v>1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0</v>
      </c>
      <c r="S76" s="8" t="n">
        <v>1</v>
      </c>
      <c r="T76" s="9" t="n">
        <v>0</v>
      </c>
      <c r="U76" s="8" t="n">
        <v>1</v>
      </c>
    </row>
    <row r="77">
      <c r="A77" s="7" t="inlineStr">
        <is>
          <t>Orang Bunian</t>
        </is>
      </c>
      <c r="B77" s="7" t="inlineStr">
        <is>
          <t>orang_bunian_sumatra_kalimantan</t>
        </is>
      </c>
      <c r="C77" s="7" t="inlineStr">
        <is>
          <t>Nature / Ancestral Spirit</t>
        </is>
      </c>
      <c r="D77" s="8" t="n">
        <v>1</v>
      </c>
      <c r="E77" s="9" t="n">
        <v>2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8" t="n">
        <v>1</v>
      </c>
      <c r="R77" s="9" t="n">
        <v>0</v>
      </c>
      <c r="S77" s="8" t="n">
        <v>1</v>
      </c>
      <c r="T77" s="9" t="n">
        <v>0</v>
      </c>
      <c r="U77" s="9" t="n">
        <v>0</v>
      </c>
    </row>
    <row r="78">
      <c r="A78" s="7" t="inlineStr">
        <is>
          <t>Hantu Galah</t>
        </is>
      </c>
      <c r="B78" s="7" t="inlineStr">
        <is>
          <t>hantu_galah_sumatra_indonesia</t>
        </is>
      </c>
      <c r="C78" s="7" t="inlineStr">
        <is>
          <t>Elemental / Demonic</t>
        </is>
      </c>
      <c r="D78" s="8" t="n">
        <v>1</v>
      </c>
      <c r="E78" s="9" t="n">
        <v>2</v>
      </c>
      <c r="F78" s="9" t="n">
        <v>0</v>
      </c>
      <c r="G78" s="8" t="n">
        <v>1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8" t="n">
        <v>1</v>
      </c>
      <c r="R78" s="9" t="n">
        <v>0</v>
      </c>
      <c r="S78" s="9" t="n">
        <v>0</v>
      </c>
      <c r="T78" s="9" t="n">
        <v>0</v>
      </c>
      <c r="U78" s="8" t="n">
        <v>1</v>
      </c>
    </row>
    <row r="79">
      <c r="A79" s="7" t="inlineStr">
        <is>
          <t>Hantu Tinggi</t>
        </is>
      </c>
      <c r="B79" s="7" t="inlineStr">
        <is>
          <t>hantu_tinggi_malaysia_sumatra</t>
        </is>
      </c>
      <c r="C79" s="7" t="inlineStr">
        <is>
          <t>Elemental / Demonic</t>
        </is>
      </c>
      <c r="D79" s="8" t="n">
        <v>1</v>
      </c>
      <c r="E79" s="9" t="n">
        <v>2</v>
      </c>
      <c r="F79" s="9" t="n">
        <v>0</v>
      </c>
      <c r="G79" s="8" t="n">
        <v>1</v>
      </c>
      <c r="H79" s="9" t="n">
        <v>0</v>
      </c>
      <c r="I79" s="9" t="n">
        <v>0</v>
      </c>
      <c r="J79" s="9" t="n">
        <v>0</v>
      </c>
      <c r="K79" s="9" t="n">
        <v>0</v>
      </c>
      <c r="L79" s="8" t="n">
        <v>1</v>
      </c>
      <c r="M79" s="9" t="n">
        <v>0</v>
      </c>
      <c r="N79" s="9" t="n">
        <v>0</v>
      </c>
      <c r="O79" s="9" t="n">
        <v>0</v>
      </c>
      <c r="P79" s="9" t="n">
        <v>0</v>
      </c>
      <c r="Q79" s="8" t="n">
        <v>1</v>
      </c>
      <c r="R79" s="9" t="n">
        <v>0</v>
      </c>
      <c r="S79" s="9" t="n">
        <v>0</v>
      </c>
      <c r="T79" s="9" t="n">
        <v>0</v>
      </c>
      <c r="U79" s="8" t="n">
        <v>1</v>
      </c>
    </row>
    <row r="80">
      <c r="A80" s="7" t="inlineStr">
        <is>
          <t>Hantu Kopek</t>
        </is>
      </c>
      <c r="B80" s="7" t="inlineStr">
        <is>
          <t>hantu_kopek_java_indonesia</t>
        </is>
      </c>
      <c r="C80" s="7" t="inlineStr">
        <is>
          <t>Vengeful Female</t>
        </is>
      </c>
      <c r="D80" s="8" t="n">
        <v>1</v>
      </c>
      <c r="E80" s="8" t="n">
        <v>1</v>
      </c>
      <c r="F80" s="8" t="n">
        <v>1</v>
      </c>
      <c r="G80" s="9" t="n">
        <v>0</v>
      </c>
      <c r="H80" s="8" t="n">
        <v>1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0</v>
      </c>
      <c r="Q80" s="9" t="n">
        <v>0</v>
      </c>
      <c r="R80" s="9" t="n">
        <v>0</v>
      </c>
      <c r="S80" s="8" t="n">
        <v>1</v>
      </c>
      <c r="T80" s="9" t="n">
        <v>0</v>
      </c>
      <c r="U80" s="8" t="n">
        <v>1</v>
      </c>
    </row>
    <row r="81">
      <c r="A81" s="7" t="inlineStr">
        <is>
          <t>Hantu Rimba</t>
        </is>
      </c>
      <c r="B81" s="7" t="inlineStr">
        <is>
          <t>hantu_rimba_indonesian_archipelago</t>
        </is>
      </c>
      <c r="C81" s="7" t="inlineStr">
        <is>
          <t>Nature / Ancestral Spirit</t>
        </is>
      </c>
      <c r="D81" s="8" t="n">
        <v>1</v>
      </c>
      <c r="E81" s="9" t="n">
        <v>2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8" t="n">
        <v>1</v>
      </c>
      <c r="R81" s="9" t="n">
        <v>0</v>
      </c>
      <c r="S81" s="8" t="n">
        <v>1</v>
      </c>
      <c r="T81" s="9" t="n">
        <v>0</v>
      </c>
      <c r="U81" s="9" t="n">
        <v>0</v>
      </c>
    </row>
    <row r="82">
      <c r="A82" s="7" t="inlineStr">
        <is>
          <t>Mambang</t>
        </is>
      </c>
      <c r="B82" s="7" t="inlineStr">
        <is>
          <t>mambang_malay_archipelago</t>
        </is>
      </c>
      <c r="C82" s="7" t="inlineStr">
        <is>
          <t>Nature / Ancestral Spirit</t>
        </is>
      </c>
      <c r="D82" s="9" t="n">
        <v>0</v>
      </c>
      <c r="E82" s="9" t="n">
        <v>2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8" t="n">
        <v>1</v>
      </c>
      <c r="R82" s="8" t="n">
        <v>1</v>
      </c>
      <c r="S82" s="8" t="n">
        <v>1</v>
      </c>
      <c r="T82" s="9" t="n">
        <v>0</v>
      </c>
      <c r="U82" s="9" t="n">
        <v>0</v>
      </c>
    </row>
    <row r="83">
      <c r="A83" s="7" t="inlineStr">
        <is>
          <t>Putri Tangguk</t>
        </is>
      </c>
      <c r="B83" s="7" t="inlineStr">
        <is>
          <t>putri_tangguk_sumatra_indonesia</t>
        </is>
      </c>
      <c r="C83" s="7" t="inlineStr">
        <is>
          <t>Vengeful Female</t>
        </is>
      </c>
      <c r="D83" s="8" t="n">
        <v>1</v>
      </c>
      <c r="E83" s="8" t="n">
        <v>1</v>
      </c>
      <c r="F83" s="8" t="n">
        <v>1</v>
      </c>
      <c r="G83" s="9" t="n">
        <v>0</v>
      </c>
      <c r="H83" s="8" t="n">
        <v>1</v>
      </c>
      <c r="I83" s="9" t="n">
        <v>0</v>
      </c>
      <c r="J83" s="9" t="n">
        <v>0</v>
      </c>
      <c r="K83" s="8" t="n">
        <v>1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8" t="n">
        <v>1</v>
      </c>
      <c r="T83" s="9" t="n">
        <v>0</v>
      </c>
      <c r="U83" s="8" t="n">
        <v>1</v>
      </c>
    </row>
    <row r="84">
      <c r="A84" s="7" t="inlineStr">
        <is>
          <t>Mariaban</t>
        </is>
      </c>
      <c r="B84" s="7" t="inlineStr">
        <is>
          <t>mariaban_kalimantan_indonesia</t>
        </is>
      </c>
      <c r="C84" s="7" t="inlineStr">
        <is>
          <t>Hominid Cryptid</t>
        </is>
      </c>
      <c r="D84" s="8" t="n">
        <v>1</v>
      </c>
      <c r="E84" s="9" t="n">
        <v>2</v>
      </c>
      <c r="F84" s="9" t="n">
        <v>0</v>
      </c>
      <c r="G84" s="8" t="n">
        <v>1</v>
      </c>
      <c r="H84" s="9" t="n">
        <v>0</v>
      </c>
      <c r="I84" s="9" t="n">
        <v>0</v>
      </c>
      <c r="J84" s="9" t="n">
        <v>0</v>
      </c>
      <c r="K84" s="9" t="n">
        <v>0</v>
      </c>
      <c r="L84" s="8" t="n">
        <v>1</v>
      </c>
      <c r="M84" s="8" t="n">
        <v>1</v>
      </c>
      <c r="N84" s="9" t="n">
        <v>0</v>
      </c>
      <c r="O84" s="9" t="n">
        <v>0</v>
      </c>
      <c r="P84" s="9" t="n">
        <v>0</v>
      </c>
      <c r="Q84" s="8" t="n">
        <v>1</v>
      </c>
      <c r="R84" s="9" t="n">
        <v>0</v>
      </c>
      <c r="S84" s="9" t="n">
        <v>0</v>
      </c>
      <c r="T84" s="9" t="n">
        <v>0</v>
      </c>
      <c r="U84" s="9" t="n">
        <v>0</v>
      </c>
    </row>
    <row r="85">
      <c r="A85" s="7" t="inlineStr">
        <is>
          <t>Hantu Banyu</t>
        </is>
      </c>
      <c r="B85" s="7" t="inlineStr">
        <is>
          <t>hantu_banyu_kalimantan_indonesia</t>
        </is>
      </c>
      <c r="C85" s="7" t="inlineStr">
        <is>
          <t>Elemental / Demonic</t>
        </is>
      </c>
      <c r="D85" s="8" t="n">
        <v>1</v>
      </c>
      <c r="E85" s="9" t="n">
        <v>2</v>
      </c>
      <c r="F85" s="9" t="n">
        <v>0</v>
      </c>
      <c r="G85" s="8" t="n">
        <v>1</v>
      </c>
      <c r="H85" s="9" t="n">
        <v>0</v>
      </c>
      <c r="I85" s="9" t="n">
        <v>0</v>
      </c>
      <c r="J85" s="9" t="n">
        <v>0</v>
      </c>
      <c r="K85" s="9" t="n">
        <v>0</v>
      </c>
      <c r="L85" s="8" t="n">
        <v>1</v>
      </c>
      <c r="M85" s="9" t="n">
        <v>0</v>
      </c>
      <c r="N85" s="9" t="n">
        <v>0</v>
      </c>
      <c r="O85" s="9" t="n">
        <v>0</v>
      </c>
      <c r="P85" s="8" t="n">
        <v>1</v>
      </c>
      <c r="Q85" s="9" t="n">
        <v>0</v>
      </c>
      <c r="R85" s="9" t="n">
        <v>0</v>
      </c>
      <c r="S85" s="8" t="n">
        <v>1</v>
      </c>
      <c r="T85" s="9" t="n">
        <v>0</v>
      </c>
      <c r="U85" s="8" t="n">
        <v>1</v>
      </c>
    </row>
    <row r="86">
      <c r="A86" s="7" t="inlineStr">
        <is>
          <t>Anak Sima</t>
        </is>
      </c>
      <c r="B86" s="7" t="inlineStr">
        <is>
          <t>anak_sima_kalimantan_indonesia</t>
        </is>
      </c>
      <c r="C86" s="7" t="inlineStr">
        <is>
          <t>Pesugihan / Wealth Demon</t>
        </is>
      </c>
      <c r="D86" s="8" t="n">
        <v>1</v>
      </c>
      <c r="E86" s="9" t="n">
        <v>2</v>
      </c>
      <c r="F86" s="8" t="n">
        <v>1</v>
      </c>
      <c r="G86" s="9" t="n">
        <v>0</v>
      </c>
      <c r="H86" s="9" t="n">
        <v>0</v>
      </c>
      <c r="I86" s="9" t="n">
        <v>0</v>
      </c>
      <c r="J86" s="8" t="n">
        <v>1</v>
      </c>
      <c r="K86" s="9" t="n">
        <v>0</v>
      </c>
      <c r="L86" s="8" t="n">
        <v>1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8" t="n">
        <v>1</v>
      </c>
      <c r="T86" s="8" t="n">
        <v>1</v>
      </c>
      <c r="U86" s="8" t="n">
        <v>1</v>
      </c>
    </row>
    <row r="87">
      <c r="A87" s="7" t="inlineStr">
        <is>
          <t>Hantu Buaya Putih</t>
        </is>
      </c>
      <c r="B87" s="7" t="inlineStr">
        <is>
          <t>hantu_buaya_putih_indonesia</t>
        </is>
      </c>
      <c r="C87" s="7" t="inlineStr">
        <is>
          <t>Therianthrope / Shapeshifter</t>
        </is>
      </c>
      <c r="D87" s="9" t="n">
        <v>0</v>
      </c>
      <c r="E87" s="9" t="n">
        <v>2</v>
      </c>
      <c r="F87" s="9" t="n">
        <v>0</v>
      </c>
      <c r="G87" s="8" t="n">
        <v>1</v>
      </c>
      <c r="H87" s="9" t="n">
        <v>0</v>
      </c>
      <c r="I87" s="9" t="n">
        <v>0</v>
      </c>
      <c r="J87" s="9" t="n">
        <v>0</v>
      </c>
      <c r="K87" s="9" t="n">
        <v>0</v>
      </c>
      <c r="L87" s="8" t="n">
        <v>1</v>
      </c>
      <c r="M87" s="9" t="n">
        <v>0</v>
      </c>
      <c r="N87" s="8" t="n">
        <v>1</v>
      </c>
      <c r="O87" s="9" t="n">
        <v>0</v>
      </c>
      <c r="P87" s="8" t="n">
        <v>1</v>
      </c>
      <c r="Q87" s="9" t="n">
        <v>0</v>
      </c>
      <c r="R87" s="9" t="n">
        <v>0</v>
      </c>
      <c r="S87" s="9" t="n">
        <v>0</v>
      </c>
      <c r="T87" s="9" t="n">
        <v>0</v>
      </c>
      <c r="U87" s="8" t="n">
        <v>1</v>
      </c>
    </row>
    <row r="88">
      <c r="A88" s="7" t="inlineStr">
        <is>
          <t>Memedi</t>
        </is>
      </c>
      <c r="B88" s="7" t="inlineStr">
        <is>
          <t>memedi_java_indonesia</t>
        </is>
      </c>
      <c r="C88" s="7" t="inlineStr">
        <is>
          <t>Elemental / Demonic</t>
        </is>
      </c>
      <c r="D88" s="8" t="n">
        <v>1</v>
      </c>
      <c r="E88" s="9" t="n">
        <v>2</v>
      </c>
      <c r="F88" s="9" t="n">
        <v>0</v>
      </c>
      <c r="G88" s="8" t="n">
        <v>1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8" t="n">
        <v>1</v>
      </c>
      <c r="O88" s="9" t="n">
        <v>0</v>
      </c>
      <c r="P88" s="9" t="n">
        <v>0</v>
      </c>
      <c r="Q88" s="9" t="n">
        <v>0</v>
      </c>
      <c r="R88" s="9" t="n">
        <v>0</v>
      </c>
      <c r="S88" s="8" t="n">
        <v>1</v>
      </c>
      <c r="T88" s="9" t="n">
        <v>0</v>
      </c>
      <c r="U88" s="8" t="n">
        <v>1</v>
      </c>
    </row>
    <row r="89">
      <c r="A89" s="7" t="inlineStr">
        <is>
          <t>Tonya</t>
        </is>
      </c>
      <c r="B89" s="7" t="inlineStr">
        <is>
          <t>tonya_sulawesi_indonesia</t>
        </is>
      </c>
      <c r="C89" s="7" t="inlineStr">
        <is>
          <t>Nature / Ancestral Spirit</t>
        </is>
      </c>
      <c r="D89" s="8" t="n">
        <v>1</v>
      </c>
      <c r="E89" s="9" t="n">
        <v>2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8" t="n">
        <v>1</v>
      </c>
      <c r="R89" s="9" t="n">
        <v>0</v>
      </c>
      <c r="S89" s="8" t="n">
        <v>1</v>
      </c>
      <c r="T89" s="9" t="n">
        <v>0</v>
      </c>
      <c r="U89" s="9" t="n">
        <v>0</v>
      </c>
    </row>
    <row r="90">
      <c r="A90" s="7" t="inlineStr">
        <is>
          <t>Naga Besukih</t>
        </is>
      </c>
      <c r="B90" s="7" t="inlineStr">
        <is>
          <t>naga_besukih_bali_indonesia</t>
        </is>
      </c>
      <c r="C90" s="7" t="inlineStr">
        <is>
          <t>Nature / Ancestral Spirit</t>
        </is>
      </c>
      <c r="D90" s="9" t="n">
        <v>0</v>
      </c>
      <c r="E90" s="9" t="n">
        <v>2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8" t="n">
        <v>1</v>
      </c>
      <c r="O90" s="9" t="n">
        <v>0</v>
      </c>
      <c r="P90" s="9" t="n">
        <v>0</v>
      </c>
      <c r="Q90" s="8" t="n">
        <v>1</v>
      </c>
      <c r="R90" s="9" t="n">
        <v>0</v>
      </c>
      <c r="S90" s="8" t="n">
        <v>1</v>
      </c>
      <c r="T90" s="9" t="n">
        <v>0</v>
      </c>
      <c r="U90" s="9" t="n">
        <v>0</v>
      </c>
    </row>
    <row r="91">
      <c r="A91" s="7" t="inlineStr">
        <is>
          <t>Parakang</t>
        </is>
      </c>
      <c r="B91" s="7" t="inlineStr">
        <is>
          <t>parakang_sulawesi_indonesia</t>
        </is>
      </c>
      <c r="C91" s="7" t="inlineStr">
        <is>
          <t>Volant Viscerophage</t>
        </is>
      </c>
      <c r="D91" s="8" t="n">
        <v>1</v>
      </c>
      <c r="E91" s="9" t="n">
        <v>2</v>
      </c>
      <c r="F91" s="8" t="n">
        <v>1</v>
      </c>
      <c r="G91" s="9" t="n">
        <v>0</v>
      </c>
      <c r="H91" s="8" t="n">
        <v>1</v>
      </c>
      <c r="I91" s="8" t="n">
        <v>1</v>
      </c>
      <c r="J91" s="8" t="n">
        <v>1</v>
      </c>
      <c r="K91" s="8" t="n">
        <v>1</v>
      </c>
      <c r="L91" s="9" t="n">
        <v>0</v>
      </c>
      <c r="M91" s="9" t="n">
        <v>0</v>
      </c>
      <c r="N91" s="9" t="n">
        <v>0</v>
      </c>
      <c r="O91" s="8" t="n">
        <v>1</v>
      </c>
      <c r="P91" s="9" t="n">
        <v>0</v>
      </c>
      <c r="Q91" s="9" t="n">
        <v>0</v>
      </c>
      <c r="R91" s="9" t="n">
        <v>0</v>
      </c>
      <c r="S91" s="8" t="n">
        <v>1</v>
      </c>
      <c r="T91" s="8" t="n">
        <v>1</v>
      </c>
      <c r="U91" s="8" t="n">
        <v>1</v>
      </c>
    </row>
    <row r="92">
      <c r="A92" s="7" t="inlineStr">
        <is>
          <t>Pokpok</t>
        </is>
      </c>
      <c r="B92" s="7" t="inlineStr">
        <is>
          <t>pokpok_sulawesi_indonesia</t>
        </is>
      </c>
      <c r="C92" s="7" t="inlineStr">
        <is>
          <t>Volant Viscerophage</t>
        </is>
      </c>
      <c r="D92" s="8" t="n">
        <v>1</v>
      </c>
      <c r="E92" s="9" t="n">
        <v>2</v>
      </c>
      <c r="F92" s="8" t="n">
        <v>1</v>
      </c>
      <c r="G92" s="9" t="n">
        <v>0</v>
      </c>
      <c r="H92" s="8" t="n">
        <v>1</v>
      </c>
      <c r="I92" s="8" t="n">
        <v>1</v>
      </c>
      <c r="J92" s="8" t="n">
        <v>1</v>
      </c>
      <c r="K92" s="8" t="n">
        <v>1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0</v>
      </c>
      <c r="S92" s="8" t="n">
        <v>1</v>
      </c>
      <c r="T92" s="8" t="n">
        <v>1</v>
      </c>
      <c r="U92" s="8" t="n">
        <v>1</v>
      </c>
    </row>
    <row r="93">
      <c r="A93" s="7" t="inlineStr">
        <is>
          <t>Longga</t>
        </is>
      </c>
      <c r="B93" s="7" t="inlineStr">
        <is>
          <t>longga_sulawesi_indonesia</t>
        </is>
      </c>
      <c r="C93" s="7" t="inlineStr">
        <is>
          <t>Elemental / Demonic</t>
        </is>
      </c>
      <c r="D93" s="8" t="n">
        <v>1</v>
      </c>
      <c r="E93" s="9" t="n">
        <v>2</v>
      </c>
      <c r="F93" s="9" t="n">
        <v>0</v>
      </c>
      <c r="G93" s="8" t="n">
        <v>1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0</v>
      </c>
      <c r="Q93" s="8" t="n">
        <v>1</v>
      </c>
      <c r="R93" s="9" t="n">
        <v>0</v>
      </c>
      <c r="S93" s="9" t="n">
        <v>0</v>
      </c>
      <c r="T93" s="9" t="n">
        <v>0</v>
      </c>
      <c r="U93" s="8" t="n">
        <v>1</v>
      </c>
    </row>
    <row r="94">
      <c r="A94" s="7" t="inlineStr">
        <is>
          <t>Waruga Spirit</t>
        </is>
      </c>
      <c r="B94" s="7" t="inlineStr">
        <is>
          <t>waruga_spirit_sulawesi_indonesia</t>
        </is>
      </c>
      <c r="C94" s="7" t="inlineStr">
        <is>
          <t>Undead / Revenant</t>
        </is>
      </c>
      <c r="D94" s="8" t="n">
        <v>1</v>
      </c>
      <c r="E94" s="9" t="n">
        <v>2</v>
      </c>
      <c r="F94" s="8" t="n">
        <v>1</v>
      </c>
      <c r="G94" s="9" t="n">
        <v>0</v>
      </c>
      <c r="H94" s="8" t="n">
        <v>1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8" t="n">
        <v>1</v>
      </c>
      <c r="R94" s="9" t="n">
        <v>0</v>
      </c>
      <c r="S94" s="8" t="n">
        <v>1</v>
      </c>
      <c r="T94" s="9" t="n">
        <v>0</v>
      </c>
      <c r="U94" s="9" t="n">
        <v>0</v>
      </c>
    </row>
    <row r="95">
      <c r="A95" s="7" t="inlineStr">
        <is>
          <t>Jin Qarin</t>
        </is>
      </c>
      <c r="B95" s="7" t="inlineStr">
        <is>
          <t>jin_qarin_indonesian_archipelago</t>
        </is>
      </c>
      <c r="C95" s="7" t="inlineStr">
        <is>
          <t>Elemental / Demonic</t>
        </is>
      </c>
      <c r="D95" s="8" t="n">
        <v>1</v>
      </c>
      <c r="E95" s="9" t="n">
        <v>2</v>
      </c>
      <c r="F95" s="9" t="n">
        <v>0</v>
      </c>
      <c r="G95" s="8" t="n">
        <v>1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0</v>
      </c>
      <c r="S95" s="8" t="n">
        <v>1</v>
      </c>
      <c r="T95" s="8" t="n">
        <v>1</v>
      </c>
      <c r="U95" s="8" t="n">
        <v>1</v>
      </c>
    </row>
    <row r="96">
      <c r="A96" s="7" t="inlineStr">
        <is>
          <t>Preta</t>
        </is>
      </c>
      <c r="B96" s="7" t="inlineStr">
        <is>
          <t>preta_indonesian_archipelago</t>
        </is>
      </c>
      <c r="C96" s="7" t="inlineStr">
        <is>
          <t>Undead / Revenant</t>
        </is>
      </c>
      <c r="D96" s="8" t="n">
        <v>1</v>
      </c>
      <c r="E96" s="9" t="n">
        <v>2</v>
      </c>
      <c r="F96" s="8" t="n">
        <v>1</v>
      </c>
      <c r="G96" s="9" t="n">
        <v>0</v>
      </c>
      <c r="H96" s="8" t="n">
        <v>1</v>
      </c>
      <c r="I96" s="9" t="n">
        <v>0</v>
      </c>
      <c r="J96" s="9" t="n">
        <v>0</v>
      </c>
      <c r="K96" s="8" t="n">
        <v>1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8" t="n">
        <v>1</v>
      </c>
      <c r="T96" s="9" t="n">
        <v>0</v>
      </c>
      <c r="U96" s="8" t="n">
        <v>1</v>
      </c>
    </row>
    <row r="97">
      <c r="A97" s="7" t="inlineStr">
        <is>
          <t>Hantu Air</t>
        </is>
      </c>
      <c r="B97" s="7" t="inlineStr">
        <is>
          <t>hantu_air_indonesian_archipelago</t>
        </is>
      </c>
      <c r="C97" s="7" t="inlineStr">
        <is>
          <t>Elemental / Demonic</t>
        </is>
      </c>
      <c r="D97" s="8" t="n">
        <v>1</v>
      </c>
      <c r="E97" s="9" t="n">
        <v>2</v>
      </c>
      <c r="F97" s="9" t="n">
        <v>0</v>
      </c>
      <c r="G97" s="8" t="n">
        <v>1</v>
      </c>
      <c r="H97" s="9" t="n">
        <v>0</v>
      </c>
      <c r="I97" s="9" t="n">
        <v>0</v>
      </c>
      <c r="J97" s="9" t="n">
        <v>0</v>
      </c>
      <c r="K97" s="9" t="n">
        <v>0</v>
      </c>
      <c r="L97" s="8" t="n">
        <v>1</v>
      </c>
      <c r="M97" s="9" t="n">
        <v>0</v>
      </c>
      <c r="N97" s="9" t="n">
        <v>0</v>
      </c>
      <c r="O97" s="9" t="n">
        <v>0</v>
      </c>
      <c r="P97" s="8" t="n">
        <v>1</v>
      </c>
      <c r="Q97" s="9" t="n">
        <v>0</v>
      </c>
      <c r="R97" s="9" t="n">
        <v>0</v>
      </c>
      <c r="S97" s="8" t="n">
        <v>1</v>
      </c>
      <c r="T97" s="9" t="n">
        <v>0</v>
      </c>
      <c r="U97" s="8" t="n">
        <v>1</v>
      </c>
    </row>
    <row r="98">
      <c r="A98" s="7" t="inlineStr">
        <is>
          <t>Aswang</t>
        </is>
      </c>
      <c r="B98" s="7" t="inlineStr">
        <is>
          <t>aswang_philippines</t>
        </is>
      </c>
      <c r="C98" s="7" t="inlineStr">
        <is>
          <t>Volant Viscerophage</t>
        </is>
      </c>
      <c r="D98" s="8" t="n">
        <v>1</v>
      </c>
      <c r="E98" s="8" t="n">
        <v>1</v>
      </c>
      <c r="F98" s="8" t="n">
        <v>1</v>
      </c>
      <c r="G98" s="9" t="n">
        <v>0</v>
      </c>
      <c r="H98" s="8" t="n">
        <v>1</v>
      </c>
      <c r="I98" s="8" t="n">
        <v>1</v>
      </c>
      <c r="J98" s="8" t="n">
        <v>1</v>
      </c>
      <c r="K98" s="8" t="n">
        <v>1</v>
      </c>
      <c r="L98" s="9" t="n">
        <v>0</v>
      </c>
      <c r="M98" s="9" t="n">
        <v>0</v>
      </c>
      <c r="N98" s="8" t="n">
        <v>1</v>
      </c>
      <c r="O98" s="9" t="n">
        <v>0</v>
      </c>
      <c r="P98" s="9" t="n">
        <v>0</v>
      </c>
      <c r="Q98" s="9" t="n">
        <v>0</v>
      </c>
      <c r="R98" s="9" t="n">
        <v>0</v>
      </c>
      <c r="S98" s="8" t="n">
        <v>1</v>
      </c>
      <c r="T98" s="8" t="n">
        <v>1</v>
      </c>
      <c r="U98" s="8" t="n">
        <v>1</v>
      </c>
    </row>
    <row r="99">
      <c r="A99" s="7" t="inlineStr">
        <is>
          <t>Tikbalang</t>
        </is>
      </c>
      <c r="B99" s="7" t="inlineStr">
        <is>
          <t>tikbalang_philippines</t>
        </is>
      </c>
      <c r="C99" s="7" t="inlineStr">
        <is>
          <t>Therianthrope / Shapeshifter</t>
        </is>
      </c>
      <c r="D99" s="8" t="n">
        <v>1</v>
      </c>
      <c r="E99" s="9" t="n">
        <v>2</v>
      </c>
      <c r="F99" s="9" t="n">
        <v>0</v>
      </c>
      <c r="G99" s="8" t="n">
        <v>1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8" t="n">
        <v>1</v>
      </c>
      <c r="N99" s="8" t="n">
        <v>1</v>
      </c>
      <c r="O99" s="9" t="n">
        <v>0</v>
      </c>
      <c r="P99" s="9" t="n">
        <v>0</v>
      </c>
      <c r="Q99" s="8" t="n">
        <v>1</v>
      </c>
      <c r="R99" s="9" t="n">
        <v>0</v>
      </c>
      <c r="S99" s="9" t="n">
        <v>0</v>
      </c>
      <c r="T99" s="9" t="n">
        <v>0</v>
      </c>
      <c r="U99" s="8" t="n">
        <v>1</v>
      </c>
    </row>
    <row r="100">
      <c r="A100" s="7" t="inlineStr">
        <is>
          <t>Phi Tai Hong</t>
        </is>
      </c>
      <c r="B100" s="7" t="inlineStr">
        <is>
          <t>phi_tai_hong_thailand</t>
        </is>
      </c>
      <c r="C100" s="7" t="inlineStr">
        <is>
          <t>Vengeful Female</t>
        </is>
      </c>
      <c r="D100" s="8" t="n">
        <v>1</v>
      </c>
      <c r="E100" s="8" t="n">
        <v>1</v>
      </c>
      <c r="F100" s="8" t="n">
        <v>1</v>
      </c>
      <c r="G100" s="8" t="n">
        <v>1</v>
      </c>
      <c r="H100" s="8" t="n">
        <v>1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0</v>
      </c>
      <c r="S100" s="8" t="n">
        <v>1</v>
      </c>
      <c r="T100" s="9" t="n">
        <v>0</v>
      </c>
      <c r="U100" s="8" t="n">
        <v>1</v>
      </c>
    </row>
    <row r="101">
      <c r="A101" s="7" t="inlineStr">
        <is>
          <t>Churel</t>
        </is>
      </c>
      <c r="B101" s="7" t="inlineStr">
        <is>
          <t>churel_south_asia</t>
        </is>
      </c>
      <c r="C101" s="7" t="inlineStr">
        <is>
          <t>Vengeful Female</t>
        </is>
      </c>
      <c r="D101" s="8" t="n">
        <v>1</v>
      </c>
      <c r="E101" s="8" t="n">
        <v>1</v>
      </c>
      <c r="F101" s="8" t="n">
        <v>1</v>
      </c>
      <c r="G101" s="9" t="n">
        <v>0</v>
      </c>
      <c r="H101" s="8" t="n">
        <v>1</v>
      </c>
      <c r="I101" s="9" t="n">
        <v>0</v>
      </c>
      <c r="J101" s="8" t="n">
        <v>1</v>
      </c>
      <c r="K101" s="8" t="n">
        <v>1</v>
      </c>
      <c r="L101" s="8" t="n">
        <v>1</v>
      </c>
      <c r="M101" s="9" t="n">
        <v>0</v>
      </c>
      <c r="N101" s="9" t="n">
        <v>0</v>
      </c>
      <c r="O101" s="9" t="n">
        <v>0</v>
      </c>
      <c r="P101" s="9" t="n">
        <v>0</v>
      </c>
      <c r="Q101" s="9" t="n">
        <v>0</v>
      </c>
      <c r="R101" s="9" t="n">
        <v>0</v>
      </c>
      <c r="S101" s="8" t="n">
        <v>1</v>
      </c>
      <c r="T101" s="9" t="n">
        <v>0</v>
      </c>
      <c r="U101" s="8" t="n">
        <v>1</v>
      </c>
    </row>
    <row r="102">
      <c r="A102" s="7" t="inlineStr">
        <is>
          <t>Aul</t>
        </is>
      </c>
      <c r="B102" s="7" t="inlineStr">
        <is>
          <t>aul_kalimantan_indonesia</t>
        </is>
      </c>
      <c r="C102" s="7" t="inlineStr">
        <is>
          <t>Hominid Cryptid</t>
        </is>
      </c>
      <c r="D102" s="8" t="n">
        <v>1</v>
      </c>
      <c r="E102" s="9" t="n">
        <v>2</v>
      </c>
      <c r="F102" s="9" t="n">
        <v>0</v>
      </c>
      <c r="G102" s="8" t="n">
        <v>1</v>
      </c>
      <c r="H102" s="9" t="n">
        <v>0</v>
      </c>
      <c r="I102" s="9" t="n">
        <v>0</v>
      </c>
      <c r="J102" s="9" t="n">
        <v>0</v>
      </c>
      <c r="K102" s="9" t="n">
        <v>0</v>
      </c>
      <c r="L102" s="8" t="n">
        <v>1</v>
      </c>
      <c r="M102" s="8" t="n">
        <v>1</v>
      </c>
      <c r="N102" s="9" t="n">
        <v>0</v>
      </c>
      <c r="O102" s="9" t="n">
        <v>0</v>
      </c>
      <c r="P102" s="9" t="n">
        <v>0</v>
      </c>
      <c r="Q102" s="8" t="n">
        <v>1</v>
      </c>
      <c r="R102" s="9" t="n">
        <v>0</v>
      </c>
      <c r="S102" s="9" t="n">
        <v>0</v>
      </c>
      <c r="T102" s="9" t="n">
        <v>0</v>
      </c>
      <c r="U102" s="9" t="n">
        <v>0</v>
      </c>
    </row>
    <row r="103">
      <c r="A103" s="7" t="inlineStr">
        <is>
          <t>Lelembut</t>
        </is>
      </c>
      <c r="B103" s="7" t="inlineStr">
        <is>
          <t>lelembut_java_indonesia</t>
        </is>
      </c>
      <c r="C103" s="7" t="inlineStr">
        <is>
          <t>Elemental / Demonic</t>
        </is>
      </c>
      <c r="D103" s="8" t="n">
        <v>1</v>
      </c>
      <c r="E103" s="9" t="n">
        <v>2</v>
      </c>
      <c r="F103" s="9" t="n">
        <v>0</v>
      </c>
      <c r="G103" s="8" t="n">
        <v>1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0</v>
      </c>
      <c r="P103" s="9" t="n">
        <v>0</v>
      </c>
      <c r="Q103" s="9" t="n">
        <v>0</v>
      </c>
      <c r="R103" s="9" t="n">
        <v>0</v>
      </c>
      <c r="S103" s="8" t="n">
        <v>1</v>
      </c>
      <c r="T103" s="8" t="n">
        <v>1</v>
      </c>
      <c r="U103" s="8" t="n">
        <v>1</v>
      </c>
    </row>
    <row r="104">
      <c r="A104" s="7" t="inlineStr">
        <is>
          <t>Siluman</t>
        </is>
      </c>
      <c r="B104" s="7" t="inlineStr">
        <is>
          <t>siluman_indonesian_archipelago</t>
        </is>
      </c>
      <c r="C104" s="7" t="inlineStr">
        <is>
          <t>Therianthrope / Shapeshifter</t>
        </is>
      </c>
      <c r="D104" s="8" t="n">
        <v>1</v>
      </c>
      <c r="E104" s="9" t="n">
        <v>2</v>
      </c>
      <c r="F104" s="9" t="n">
        <v>0</v>
      </c>
      <c r="G104" s="8" t="n">
        <v>1</v>
      </c>
      <c r="H104" s="9" t="n">
        <v>0</v>
      </c>
      <c r="I104" s="9" t="n">
        <v>0</v>
      </c>
      <c r="J104" s="9" t="n">
        <v>0</v>
      </c>
      <c r="K104" s="9" t="n">
        <v>0</v>
      </c>
      <c r="L104" s="8" t="n">
        <v>1</v>
      </c>
      <c r="M104" s="9" t="n">
        <v>0</v>
      </c>
      <c r="N104" s="8" t="n">
        <v>1</v>
      </c>
      <c r="O104" s="9" t="n">
        <v>0</v>
      </c>
      <c r="P104" s="9" t="n">
        <v>0</v>
      </c>
      <c r="Q104" s="8" t="n">
        <v>1</v>
      </c>
      <c r="R104" s="9" t="n">
        <v>0</v>
      </c>
      <c r="S104" s="9" t="n">
        <v>0</v>
      </c>
      <c r="T104" s="9" t="n">
        <v>0</v>
      </c>
      <c r="U104" s="8" t="n">
        <v>1</v>
      </c>
    </row>
    <row r="105">
      <c r="A105" s="7" t="inlineStr">
        <is>
          <t>Dedemit</t>
        </is>
      </c>
      <c r="B105" s="7" t="inlineStr">
        <is>
          <t>dedemit_java_indonesia</t>
        </is>
      </c>
      <c r="C105" s="7" t="inlineStr">
        <is>
          <t>Nature / Ancestral Spirit</t>
        </is>
      </c>
      <c r="D105" s="8" t="n">
        <v>1</v>
      </c>
      <c r="E105" s="9" t="n">
        <v>2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</v>
      </c>
      <c r="P105" s="9" t="n">
        <v>0</v>
      </c>
      <c r="Q105" s="8" t="n">
        <v>1</v>
      </c>
      <c r="R105" s="9" t="n">
        <v>0</v>
      </c>
      <c r="S105" s="8" t="n">
        <v>1</v>
      </c>
      <c r="T105" s="9" t="n">
        <v>0</v>
      </c>
      <c r="U105" s="9" t="n">
        <v>0</v>
      </c>
    </row>
    <row r="106">
      <c r="A106" s="7" t="inlineStr">
        <is>
          <t>Hantu Penunggu</t>
        </is>
      </c>
      <c r="B106" s="7" t="inlineStr">
        <is>
          <t>hantu_penunggu_indonesia</t>
        </is>
      </c>
      <c r="C106" s="7" t="inlineStr">
        <is>
          <t>Nature / Ancestral Spirit</t>
        </is>
      </c>
      <c r="D106" s="8" t="n">
        <v>1</v>
      </c>
      <c r="E106" s="9" t="n">
        <v>2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8" t="n">
        <v>1</v>
      </c>
      <c r="R106" s="9" t="n">
        <v>0</v>
      </c>
      <c r="S106" s="8" t="n">
        <v>1</v>
      </c>
      <c r="T106" s="9" t="n">
        <v>0</v>
      </c>
      <c r="U106" s="9" t="n">
        <v>0</v>
      </c>
    </row>
    <row r="107">
      <c r="A107" s="7" t="inlineStr">
        <is>
          <t>Matianak</t>
        </is>
      </c>
      <c r="B107" s="7" t="inlineStr">
        <is>
          <t>matianak_kalimantan_indonesia</t>
        </is>
      </c>
      <c r="C107" s="7" t="inlineStr">
        <is>
          <t>Vengeful Female</t>
        </is>
      </c>
      <c r="D107" s="8" t="n">
        <v>1</v>
      </c>
      <c r="E107" s="8" t="n">
        <v>1</v>
      </c>
      <c r="F107" s="8" t="n">
        <v>1</v>
      </c>
      <c r="G107" s="9" t="n">
        <v>0</v>
      </c>
      <c r="H107" s="8" t="n">
        <v>1</v>
      </c>
      <c r="I107" s="9" t="n">
        <v>0</v>
      </c>
      <c r="J107" s="8" t="n">
        <v>1</v>
      </c>
      <c r="K107" s="8" t="n">
        <v>1</v>
      </c>
      <c r="L107" s="8" t="n">
        <v>1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0</v>
      </c>
      <c r="S107" s="8" t="n">
        <v>1</v>
      </c>
      <c r="T107" s="8" t="n">
        <v>1</v>
      </c>
      <c r="U107" s="9" t="n">
        <v>0</v>
      </c>
    </row>
    <row r="108">
      <c r="A108" s="7" t="inlineStr">
        <is>
          <t>Pocong Gundul</t>
        </is>
      </c>
      <c r="B108" s="7" t="inlineStr">
        <is>
          <t>pocong_gundul_java_indonesia</t>
        </is>
      </c>
      <c r="C108" s="7" t="inlineStr">
        <is>
          <t>Undead / Revenant</t>
        </is>
      </c>
      <c r="D108" s="8" t="n">
        <v>1</v>
      </c>
      <c r="E108" s="9" t="n">
        <v>2</v>
      </c>
      <c r="F108" s="8" t="n">
        <v>1</v>
      </c>
      <c r="G108" s="8" t="n">
        <v>1</v>
      </c>
      <c r="H108" s="8" t="n">
        <v>1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9" t="n">
        <v>0</v>
      </c>
      <c r="S108" s="8" t="n">
        <v>1</v>
      </c>
      <c r="T108" s="9" t="n">
        <v>0</v>
      </c>
      <c r="U108" s="8" t="n">
        <v>1</v>
      </c>
    </row>
    <row r="109">
      <c r="A109" s="7" t="inlineStr">
        <is>
          <t>Hantu Pusako</t>
        </is>
      </c>
      <c r="B109" s="7" t="inlineStr">
        <is>
          <t>hantu_pusako_sumatra_indonesia</t>
        </is>
      </c>
      <c r="C109" s="7" t="inlineStr">
        <is>
          <t>Nature / Ancestral Spirit</t>
        </is>
      </c>
      <c r="D109" s="8" t="n">
        <v>1</v>
      </c>
      <c r="E109" s="9" t="n">
        <v>2</v>
      </c>
      <c r="F109" s="9" t="n">
        <v>0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</v>
      </c>
      <c r="P109" s="9" t="n">
        <v>0</v>
      </c>
      <c r="Q109" s="8" t="n">
        <v>1</v>
      </c>
      <c r="R109" s="9" t="n">
        <v>0</v>
      </c>
      <c r="S109" s="8" t="n">
        <v>1</v>
      </c>
      <c r="T109" s="9" t="n">
        <v>0</v>
      </c>
      <c r="U109" s="9" t="n">
        <v>0</v>
      </c>
    </row>
    <row r="110">
      <c r="A110" s="7" t="inlineStr">
        <is>
          <t>Kambe</t>
        </is>
      </c>
      <c r="B110" s="7" t="inlineStr">
        <is>
          <t>kambe_sulawesi_indonesia</t>
        </is>
      </c>
      <c r="C110" s="7" t="inlineStr">
        <is>
          <t>Hominid Cryptid</t>
        </is>
      </c>
      <c r="D110" s="8" t="n">
        <v>1</v>
      </c>
      <c r="E110" s="9" t="n">
        <v>2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8" t="n">
        <v>1</v>
      </c>
      <c r="M110" s="8" t="n">
        <v>1</v>
      </c>
      <c r="N110" s="9" t="n">
        <v>0</v>
      </c>
      <c r="O110" s="9" t="n">
        <v>0</v>
      </c>
      <c r="P110" s="9" t="n">
        <v>0</v>
      </c>
      <c r="Q110" s="8" t="n">
        <v>1</v>
      </c>
      <c r="R110" s="9" t="n">
        <v>0</v>
      </c>
      <c r="S110" s="9" t="n">
        <v>0</v>
      </c>
      <c r="T110" s="9" t="n">
        <v>0</v>
      </c>
      <c r="U110" s="9" t="n">
        <v>0</v>
      </c>
    </row>
    <row r="111">
      <c r="A111" s="7" t="inlineStr">
        <is>
          <t>Orang Gigi</t>
        </is>
      </c>
      <c r="B111" s="7" t="inlineStr">
        <is>
          <t>orang_gigi_sumatra_indonesia</t>
        </is>
      </c>
      <c r="C111" s="7" t="inlineStr">
        <is>
          <t>Hominid Cryptid</t>
        </is>
      </c>
      <c r="D111" s="8" t="n">
        <v>1</v>
      </c>
      <c r="E111" s="9" t="n">
        <v>2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8" t="n">
        <v>1</v>
      </c>
      <c r="M111" s="8" t="n">
        <v>1</v>
      </c>
      <c r="N111" s="9" t="n">
        <v>0</v>
      </c>
      <c r="O111" s="9" t="n">
        <v>0</v>
      </c>
      <c r="P111" s="9" t="n">
        <v>0</v>
      </c>
      <c r="Q111" s="8" t="n">
        <v>1</v>
      </c>
      <c r="R111" s="9" t="n">
        <v>0</v>
      </c>
      <c r="S111" s="9" t="n">
        <v>0</v>
      </c>
      <c r="T111" s="9" t="n">
        <v>0</v>
      </c>
      <c r="U111" s="9" t="n">
        <v>0</v>
      </c>
    </row>
  </sheetData>
  <autoFilter ref="A1:U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 ht="34" customHeight="1">
      <c r="A1" s="4" t="inlineStr">
        <is>
          <t>Island_Region</t>
        </is>
      </c>
      <c r="B1" s="4" t="inlineStr">
        <is>
          <t>Taxa</t>
        </is>
      </c>
      <c r="C1" s="4" t="inlineStr">
        <is>
          <t>Share</t>
        </is>
      </c>
    </row>
    <row r="2">
      <c r="A2" t="inlineStr">
        <is>
          <t>Java</t>
        </is>
      </c>
      <c r="B2" t="n">
        <v>28</v>
      </c>
      <c r="C2" s="10">
        <f>B2/SUM(B$2:B$24)</f>
        <v/>
      </c>
    </row>
    <row r="3">
      <c r="A3" t="inlineStr">
        <is>
          <t>Kalimantan</t>
        </is>
      </c>
      <c r="B3" t="n">
        <v>12</v>
      </c>
      <c r="C3" s="10">
        <f>B3/SUM(B$2:B$24)</f>
        <v/>
      </c>
    </row>
    <row r="4">
      <c r="A4" t="inlineStr">
        <is>
          <t>Sulawesi</t>
        </is>
      </c>
      <c r="B4" t="n">
        <v>11</v>
      </c>
      <c r="C4" s="10">
        <f>B4/SUM(B$2:B$24)</f>
        <v/>
      </c>
    </row>
    <row r="5">
      <c r="A5" t="inlineStr">
        <is>
          <t>Indonesian Archipelago (widespread)</t>
        </is>
      </c>
      <c r="B5" t="n">
        <v>10</v>
      </c>
      <c r="C5" s="10">
        <f>B5/SUM(B$2:B$24)</f>
        <v/>
      </c>
    </row>
    <row r="6">
      <c r="A6" t="inlineStr">
        <is>
          <t>Bali</t>
        </is>
      </c>
      <c r="B6" t="n">
        <v>8</v>
      </c>
      <c r="C6" s="10">
        <f>B6/SUM(B$2:B$24)</f>
        <v/>
      </c>
    </row>
    <row r="7">
      <c r="A7" t="inlineStr">
        <is>
          <t>Sumatra</t>
        </is>
      </c>
      <c r="B7" t="n">
        <v>8</v>
      </c>
      <c r="C7" s="10">
        <f>B7/SUM(B$2:B$24)</f>
        <v/>
      </c>
    </row>
    <row r="8">
      <c r="A8" t="inlineStr">
        <is>
          <t>Maluku / Maluku Islands</t>
        </is>
      </c>
      <c r="B8" t="n">
        <v>5</v>
      </c>
      <c r="C8" s="10">
        <f>B8/SUM(B$2:B$24)</f>
        <v/>
      </c>
    </row>
    <row r="9">
      <c r="A9" t="inlineStr">
        <is>
          <t>Papua</t>
        </is>
      </c>
      <c r="B9" t="n">
        <v>5</v>
      </c>
      <c r="C9" s="10">
        <f>B9/SUM(B$2:B$24)</f>
        <v/>
      </c>
    </row>
    <row r="10">
      <c r="A10" t="inlineStr">
        <is>
          <t>Philippines (Outgroup)</t>
        </is>
      </c>
      <c r="B10" t="n">
        <v>3</v>
      </c>
      <c r="C10" s="10">
        <f>B10/SUM(B$2:B$24)</f>
        <v/>
      </c>
    </row>
    <row r="11">
      <c r="A11" t="inlineStr">
        <is>
          <t>Java (Jakarta)</t>
        </is>
      </c>
      <c r="B11" t="n">
        <v>3</v>
      </c>
      <c r="C11" s="10">
        <f>B11/SUM(B$2:B$24)</f>
        <v/>
      </c>
    </row>
    <row r="12">
      <c r="A12" t="inlineStr">
        <is>
          <t>Malaysia (Outgroup)</t>
        </is>
      </c>
      <c r="B12" t="n">
        <v>2</v>
      </c>
      <c r="C12" s="10">
        <f>B12/SUM(B$2:B$24)</f>
        <v/>
      </c>
    </row>
    <row r="13">
      <c r="A13" t="inlineStr">
        <is>
          <t>Flores / NTT</t>
        </is>
      </c>
      <c r="B13" t="n">
        <v>2</v>
      </c>
      <c r="C13" s="10">
        <f>B13/SUM(B$2:B$24)</f>
        <v/>
      </c>
    </row>
    <row r="14">
      <c r="A14" t="inlineStr">
        <is>
          <t>Lombok / NTT</t>
        </is>
      </c>
      <c r="B14" t="n">
        <v>2</v>
      </c>
      <c r="C14" s="10">
        <f>B14/SUM(B$2:B$24)</f>
        <v/>
      </c>
    </row>
    <row r="15">
      <c r="A15" t="inlineStr">
        <is>
          <t>Sumatra / Malay world</t>
        </is>
      </c>
      <c r="B15" t="n">
        <v>2</v>
      </c>
      <c r="C15" s="10">
        <f>B15/SUM(B$2:B$24)</f>
        <v/>
      </c>
    </row>
    <row r="16">
      <c r="A16" t="inlineStr">
        <is>
          <t>Thailand / Cambodia (Outgroup)</t>
        </is>
      </c>
      <c r="B16" t="n">
        <v>1</v>
      </c>
      <c r="C16" s="10">
        <f>B16/SUM(B$2:B$24)</f>
        <v/>
      </c>
    </row>
    <row r="17">
      <c r="A17" t="inlineStr">
        <is>
          <t>Nusa Tenggara</t>
        </is>
      </c>
      <c r="B17" t="n">
        <v>1</v>
      </c>
      <c r="C17" s="10">
        <f>B17/SUM(B$2:B$24)</f>
        <v/>
      </c>
    </row>
    <row r="18">
      <c r="A18" t="inlineStr">
        <is>
          <t>Java (north coast, Pekalongan)</t>
        </is>
      </c>
      <c r="B18" t="n">
        <v>1</v>
      </c>
      <c r="C18" s="10">
        <f>B18/SUM(B$2:B$24)</f>
        <v/>
      </c>
    </row>
    <row r="19">
      <c r="A19" t="inlineStr">
        <is>
          <t>Java / Bali</t>
        </is>
      </c>
      <c r="B19" t="n">
        <v>1</v>
      </c>
      <c r="C19" s="10">
        <f>B19/SUM(B$2:B$24)</f>
        <v/>
      </c>
    </row>
    <row r="20">
      <c r="A20" t="inlineStr">
        <is>
          <t>Java (Bandung)</t>
        </is>
      </c>
      <c r="B20" t="n">
        <v>1</v>
      </c>
      <c r="C20" s="10">
        <f>B20/SUM(B$2:B$24)</f>
        <v/>
      </c>
    </row>
    <row r="21">
      <c r="A21" t="inlineStr">
        <is>
          <t>Sumatra / Kalimantan</t>
        </is>
      </c>
      <c r="B21" t="n">
        <v>1</v>
      </c>
      <c r="C21" s="10">
        <f>B21/SUM(B$2:B$24)</f>
        <v/>
      </c>
    </row>
    <row r="22">
      <c r="A22" t="inlineStr">
        <is>
          <t>Sulawesi (Minahasa)</t>
        </is>
      </c>
      <c r="B22" t="n">
        <v>1</v>
      </c>
      <c r="C22" s="10">
        <f>B22/SUM(B$2:B$24)</f>
        <v/>
      </c>
    </row>
    <row r="23">
      <c r="A23" t="inlineStr">
        <is>
          <t>Thailand (Outgroup)</t>
        </is>
      </c>
      <c r="B23" t="n">
        <v>1</v>
      </c>
      <c r="C23" s="10">
        <f>B23/SUM(B$2:B$24)</f>
        <v/>
      </c>
    </row>
    <row r="24">
      <c r="A24" t="inlineStr">
        <is>
          <t>South Asia (Outgroup)</t>
        </is>
      </c>
      <c r="B24" t="n">
        <v>1</v>
      </c>
      <c r="C24" s="10">
        <f>B24/SUM(B$2:B$24)</f>
        <v/>
      </c>
    </row>
    <row r="26">
      <c r="A26" s="11" t="inlineStr">
        <is>
          <t>Total</t>
        </is>
      </c>
      <c r="B26" s="11">
        <f>SUM(B2:B24)</f>
        <v/>
      </c>
    </row>
  </sheetData>
  <autoFilter ref="A1:C1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 ht="34" customHeight="1">
      <c r="A1" s="4" t="inlineStr">
        <is>
          <t>Clade</t>
        </is>
      </c>
      <c r="B1" s="4" t="inlineStr">
        <is>
          <t>Taxa</t>
        </is>
      </c>
      <c r="C1" s="4" t="inlineStr">
        <is>
          <t>Share</t>
        </is>
      </c>
    </row>
    <row r="2">
      <c r="A2" t="inlineStr">
        <is>
          <t>Vengeful Female</t>
        </is>
      </c>
      <c r="B2" t="n">
        <v>20</v>
      </c>
      <c r="C2" s="10">
        <f>B2/SUM(B$2:B$15)</f>
        <v/>
      </c>
    </row>
    <row r="3">
      <c r="A3" t="inlineStr">
        <is>
          <t>Volant Viscerophage</t>
        </is>
      </c>
      <c r="B3" t="n">
        <v>14</v>
      </c>
      <c r="C3" s="10">
        <f>B3/SUM(B$2:B$15)</f>
        <v/>
      </c>
    </row>
    <row r="4">
      <c r="A4" t="inlineStr">
        <is>
          <t>Elemental / Demonic</t>
        </is>
      </c>
      <c r="B4" t="n">
        <v>12</v>
      </c>
      <c r="C4" s="10">
        <f>B4/SUM(B$2:B$15)</f>
        <v/>
      </c>
    </row>
    <row r="5">
      <c r="A5" t="inlineStr">
        <is>
          <t>Hominid Cryptid</t>
        </is>
      </c>
      <c r="B5" t="n">
        <v>10</v>
      </c>
      <c r="C5" s="10">
        <f>B5/SUM(B$2:B$15)</f>
        <v/>
      </c>
    </row>
    <row r="6">
      <c r="A6" t="inlineStr">
        <is>
          <t>Nature / Ancestral Spirit</t>
        </is>
      </c>
      <c r="B6" t="n">
        <v>9</v>
      </c>
      <c r="C6" s="10">
        <f>B6/SUM(B$2:B$15)</f>
        <v/>
      </c>
    </row>
    <row r="7">
      <c r="A7" t="inlineStr">
        <is>
          <t>ElementalDemonic</t>
        </is>
      </c>
      <c r="B7" t="n">
        <v>8</v>
      </c>
      <c r="C7" s="10">
        <f>B7/SUM(B$2:B$15)</f>
        <v/>
      </c>
    </row>
    <row r="8">
      <c r="A8" t="inlineStr">
        <is>
          <t>TherianthropeShapeshifter</t>
        </is>
      </c>
      <c r="B8" t="n">
        <v>8</v>
      </c>
      <c r="C8" s="10">
        <f>B8/SUM(B$2:B$15)</f>
        <v/>
      </c>
    </row>
    <row r="9">
      <c r="A9" t="inlineStr">
        <is>
          <t>Undead / Revenant</t>
        </is>
      </c>
      <c r="B9" t="n">
        <v>8</v>
      </c>
      <c r="C9" s="10">
        <f>B9/SUM(B$2:B$15)</f>
        <v/>
      </c>
    </row>
    <row r="10">
      <c r="A10" t="inlineStr">
        <is>
          <t>PesugihanWealth Demon</t>
        </is>
      </c>
      <c r="B10" t="n">
        <v>5</v>
      </c>
      <c r="C10" s="10">
        <f>B10/SUM(B$2:B$15)</f>
        <v/>
      </c>
    </row>
    <row r="11">
      <c r="A11" t="inlineStr">
        <is>
          <t>UndeadRevenant</t>
        </is>
      </c>
      <c r="B11" t="n">
        <v>4</v>
      </c>
      <c r="C11" s="10">
        <f>B11/SUM(B$2:B$15)</f>
        <v/>
      </c>
    </row>
    <row r="12">
      <c r="A12" t="inlineStr">
        <is>
          <t>Therianthrope / Shapeshifter</t>
        </is>
      </c>
      <c r="B12" t="n">
        <v>4</v>
      </c>
      <c r="C12" s="10">
        <f>B12/SUM(B$2:B$15)</f>
        <v/>
      </c>
    </row>
    <row r="13">
      <c r="A13" t="inlineStr">
        <is>
          <t>Volant Cryptid</t>
        </is>
      </c>
      <c r="B13" t="n">
        <v>3</v>
      </c>
      <c r="C13" s="10">
        <f>B13/SUM(B$2:B$15)</f>
        <v/>
      </c>
    </row>
    <row r="14">
      <c r="A14" t="inlineStr">
        <is>
          <t>NatureAncestral Spirit</t>
        </is>
      </c>
      <c r="B14" t="n">
        <v>3</v>
      </c>
      <c r="C14" s="10">
        <f>B14/SUM(B$2:B$15)</f>
        <v/>
      </c>
    </row>
    <row r="15">
      <c r="A15" t="inlineStr">
        <is>
          <t>Pesugihan / Wealth Demon</t>
        </is>
      </c>
      <c r="B15" t="n">
        <v>2</v>
      </c>
      <c r="C15" s="10">
        <f>B15/SUM(B$2:B$15)</f>
        <v/>
      </c>
    </row>
    <row r="17">
      <c r="A17" s="11" t="inlineStr">
        <is>
          <t>Total</t>
        </is>
      </c>
      <c r="B17" s="11">
        <f>SUM(B2:B15)</f>
        <v/>
      </c>
    </row>
  </sheetData>
  <autoFilter ref="A1:C1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29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78" customWidth="1" min="3" max="3"/>
  </cols>
  <sheetData>
    <row r="1">
      <c r="A1" s="12" t="inlineStr">
        <is>
          <t>Phylogeny — IQ-TREE consensus tree (.contree)</t>
        </is>
      </c>
    </row>
    <row r="2">
      <c r="A2" s="13" t="inlineStr">
        <is>
          <t>Full Newick string (verbatim from indonesian_ghosts.contree)</t>
        </is>
      </c>
    </row>
    <row r="3" ht="180" customHeight="1">
      <c r="A3" s="14" t="inlineStr">
        <is>
          <t>(kuntilanak_indonesian_archipelago:0.0000024259,(((((((sundel_bolong_java_indonesia:0.0000024259,wedon_java_indonesia:0.0000024259)98:0.0521670864,(ina_ama_maluku_indonesia:0.0000024259,senggiq_lombok_indonesia:0.0000024259)30:0.0000024259)60:0.0231343881,(wewe_gombel_java_indonesia:0.0344888229,(((((((((((((((((((((genderuwo_java_indonesia:0.0000000000,kapre_papua_indonesia:0.0000000000):0.0000024259,tandi_barane_sulawesi:0.0000024259)98:0.0205635684,(orang_pendek_sumatra_indonesia:0.0140206363,ebu_gogo_flores_indonesia:0.0140199125)94:0.0048645341)89:0.0420032133,momoa_maluku_indonesia:0.0025284986)77:0.0605593120,((toyol_tuyul_indonesian_archipelago:0.0000024259,tuyul_buncit_java_indonesia:0.0000024259)72:0.0000025055,(bajang_java_indonesia:0.0000024259,(((leyak_bali_indonesia:0.0332255594,palasik_west_sumatra_indonesia:0.0332255636)69:0.0000024259,((penanggalan_malaysia:0.0069292272,(manananggal_philippines:0.0853521603,krasue_ap_thailand_cambodia:0.0342895641)88:0.0189332090)86:0.0392413771,((kuyang_kalimantan_indonesia:0.0000023550,poppo_bugis_sulawesi:0.0000024259)92:0.0124530153,(antu_pala_dayak_kalimantan:0.0000024259,kepala_buntung_java_indonesia:0.0000024259)96:0.0478856008)56:0.0000024259)81:0.0169055681)95:0.0774578418,celuluk_bali_indonesia:0.0000024259)54:0.0000025055)79:0.0458169227)56:0.0181555889)36:0.0426954182,(ahool_java_indonesia:0.0000022958,(orang_bati_seram_indonesia:0.0345890859,kaiamunu_papua_indonesia:0.0169117421)88:0.0352337860)87:0.0563088751)35:0.0000025055,babi_ngepet_java_indonesia:0.0175193364)22:0.0000024259,jenglot_indonesian_archipelago:0.0175184803)65:0.0690294809,buto_ijo_java_indonesia:0.0195168790)55:0.0743541103,(rangda_bali_indonesia:0.0000024259,jero_gede_mecaling_bali:0.0264984696)95:0.0100282451)34:0.0000024259,banaspati_java_indonesia:0.0500760659)53:0.0414173187,(batara_kala_java_indonesia:0.0000025055,barong_bali_indonesia:0.1041202262)73:0.0075767657)53:0.0224947270,begu_ganjang_sumatra_indonesia:0.1648452599)49:0.0326468682,lampor_java_indonesia:0.1066365396)41:0.0000024259,antu_raya_dayak_kalimantan:0.0000024259)56:0.0286770148,(((pocong_java_indonesia:0.0134740078,bombo_toraja_sulawesi:0.0134723048)99:0.0900613078,bake_asmat_papua_indonesia:0.0369159776)54:0.0000024259,nitu_maluku_indonesia:0.0000024259)80:0.0168057259)59:0.0742279549,(batitong_toraja_sulawesi:0.0000024259,naga_ntt_indonesia:0.0896566752)67:0.0121687038)38:0.0138536560,kelimutu_spirit_flores_indonesia:0.0000021980)44:0.0961174930,((((cindaku_sumatra_indonesia:0.0000024259,bakkara_makassar_sulawesi:0.0000024259)88:0.0000026979,hantu_belian_kalimantan:0.0613257203)85:0.0313458445,nyi_roro_kidul_java_bali:0.1412317699)56:0.0159459151,homang_papua_indonesia:0.0000025055)32:0.0000021980)45:0.0462246209,((leak_bali_indonesia:0.0000024259,leak_lombok_ntt:0.0000024259)89:0.0000023411,suanggi_maluku_indonesia:0.0000024259)51:0.0000027050)87:0.1141186988,suster_ngesot_java_indonesia:0.0000022350)58:0.0322652992)67:0.0725857667)52:0.0000021201,(si_manis_jembatan_ancol_java:0.0134713615,langsuyar_malaysia:0.0924292233)25:0.0000024259)17:0.0000024259,tosalili_toraja_sulawesi:0.0134724851)56:0.0000025467,ndope_sentani_papua_indonesia:0.0000024259)70:0.0134894609,antu_gerugugu_kalimantan:0.0275358426)96:0.0000024259,tetek_arum_kalimantan:0.0000024259);</t>
        </is>
      </c>
    </row>
    <row r="5">
      <c r="A5" s="13" t="inlineStr">
        <is>
          <t>Tree statistics</t>
        </is>
      </c>
    </row>
    <row r="6">
      <c r="A6" s="15" t="inlineStr">
        <is>
          <t>Tips (taxa sampled)</t>
        </is>
      </c>
      <c r="B6" t="inlineStr">
        <is>
          <t>61</t>
        </is>
      </c>
    </row>
    <row r="7">
      <c r="A7" s="15" t="inlineStr">
        <is>
          <t>Internal nodes</t>
        </is>
      </c>
      <c r="B7" t="inlineStr">
        <is>
          <t>57</t>
        </is>
      </c>
    </row>
    <row r="8">
      <c r="A8" s="15" t="inlineStr">
        <is>
          <t>Bootstrap support range</t>
        </is>
      </c>
      <c r="B8" t="inlineStr">
        <is>
          <t>17–99</t>
        </is>
      </c>
    </row>
    <row r="9">
      <c r="A9" s="15" t="inlineStr">
        <is>
          <t>Nodes with support ≥ 90</t>
        </is>
      </c>
      <c r="B9" t="inlineStr">
        <is>
          <t>9</t>
        </is>
      </c>
    </row>
    <row r="10">
      <c r="A10" s="15" t="inlineStr">
        <is>
          <t>Nodes with support &lt; 50</t>
        </is>
      </c>
      <c r="B10" t="inlineStr">
        <is>
          <t>13</t>
        </is>
      </c>
    </row>
    <row r="11">
      <c r="A11" s="15" t="inlineStr">
        <is>
          <t>Basal split</t>
        </is>
      </c>
      <c r="B11" t="inlineStr">
        <is>
          <t>Kuntilanak sister to all other taxa</t>
        </is>
      </c>
    </row>
    <row r="12">
      <c r="A12" s="15" t="inlineStr">
        <is>
          <t>Longest terminal branch</t>
        </is>
      </c>
      <c r="B12" t="inlineStr">
        <is>
          <t>Begu Ganjang — 0.165</t>
        </is>
      </c>
    </row>
    <row r="13">
      <c r="A13" s="15" t="inlineStr">
        <is>
          <t>Second-longest terminal branch</t>
        </is>
      </c>
      <c r="B13" t="inlineStr">
        <is>
          <t>Nyi Roro Kidul — 0.141</t>
        </is>
      </c>
    </row>
    <row r="14">
      <c r="A14" s="15" t="inlineStr">
        <is>
          <t>Taxa sampled</t>
        </is>
      </c>
      <c r="B14" t="inlineStr">
        <is>
          <t>Original 61 only — see Sampled_In_Phylogeny in the Ghosts sheet</t>
        </is>
      </c>
    </row>
    <row r="15">
      <c r="A15" s="15" t="inlineStr">
        <is>
          <t>Expansion taxa (v3)</t>
        </is>
      </c>
      <c r="B15" t="inlineStr">
        <is>
          <t>Not sampled — incertae sedis / not yet sampled; no placement invented</t>
        </is>
      </c>
    </row>
    <row r="17">
      <c r="A17" s="13" t="inlineStr">
        <is>
          <t>Notable supported sister pairs / clades</t>
        </is>
      </c>
    </row>
    <row r="18">
      <c r="A18" s="16" t="inlineStr">
        <is>
          <t>Sister pair / clade</t>
        </is>
      </c>
      <c r="B18" s="16" t="inlineStr">
        <is>
          <t>Bootstrap</t>
        </is>
      </c>
      <c r="C18" s="16" t="inlineStr">
        <is>
          <t>Note</t>
        </is>
      </c>
    </row>
    <row r="19" ht="30" customHeight="1">
      <c r="A19" s="14" t="inlineStr">
        <is>
          <t>Pocong + Bombo</t>
        </is>
      </c>
      <c r="B19" s="14" t="n">
        <v>99</v>
      </c>
      <c r="C19" s="14" t="inlineStr">
        <is>
          <t>Undead / revenant pairing (Java + Toraja)</t>
        </is>
      </c>
    </row>
    <row r="20" ht="30" customHeight="1">
      <c r="A20" s="14" t="inlineStr">
        <is>
          <t>Sundel Bolong + Wedon</t>
        </is>
      </c>
      <c r="B20" s="14" t="n">
        <v>98</v>
      </c>
      <c r="C20" s="14" t="inlineStr">
        <is>
          <t>Javanese vengeful-female pairing</t>
        </is>
      </c>
    </row>
    <row r="21" ht="30" customHeight="1">
      <c r="A21" s="14" t="inlineStr">
        <is>
          <t>Antu Pala + Kepala Buntung</t>
        </is>
      </c>
      <c r="B21" s="14" t="n">
        <v>96</v>
      </c>
      <c r="C21" s="14" t="inlineStr">
        <is>
          <t>Headless / detached-head pairing (Kalimantan + Java)</t>
        </is>
      </c>
    </row>
    <row r="22" ht="30" customHeight="1">
      <c r="A22" s="14" t="inlineStr">
        <is>
          <t>Rangda + Jero Gede Mecaling</t>
        </is>
      </c>
      <c r="B22" s="14" t="n">
        <v>95</v>
      </c>
      <c r="C22" s="14" t="inlineStr">
        <is>
          <t>Balinese demonic pairing</t>
        </is>
      </c>
    </row>
    <row r="23" ht="30" customHeight="1">
      <c r="A23" s="14" t="inlineStr">
        <is>
          <t>Orang Pendek + Ebu Gogo</t>
        </is>
      </c>
      <c r="B23" s="14" t="n">
        <v>94</v>
      </c>
      <c r="C23" s="14" t="inlineStr">
        <is>
          <t>Hominid cryptids (Sumatra + Flores)</t>
        </is>
      </c>
    </row>
    <row r="24" ht="30" customHeight="1">
      <c r="A24" s="14" t="inlineStr">
        <is>
          <t>Kuyang + Poppo</t>
        </is>
      </c>
      <c r="B24" s="14" t="n">
        <v>92</v>
      </c>
      <c r="C24" s="14" t="inlineStr">
        <is>
          <t>Flying-head pairing (Kalimantan + Sulawesi)</t>
        </is>
      </c>
    </row>
    <row r="25" ht="30" customHeight="1">
      <c r="A25" s="14" t="inlineStr">
        <is>
          <t>Leak Bali + Leak Lombok</t>
        </is>
      </c>
      <c r="B25" s="14" t="n">
        <v>89</v>
      </c>
      <c r="C25" s="14" t="inlineStr">
        <is>
          <t>Same named tradition, two islands</t>
        </is>
      </c>
    </row>
    <row r="26" ht="30" customHeight="1">
      <c r="A26" s="14" t="inlineStr">
        <is>
          <t>Cindaku + Bakkara</t>
        </is>
      </c>
      <c r="B26" s="14" t="n">
        <v>88</v>
      </c>
      <c r="C26" s="14" t="inlineStr">
        <is>
          <t>Therianthrope / shapeshifter pairing (Sumatra + Sulawesi)</t>
        </is>
      </c>
    </row>
    <row r="27" ht="30" customHeight="1">
      <c r="A27" s="14" t="inlineStr">
        <is>
          <t>Penanggalan + (Manananggal + Krasue)</t>
        </is>
      </c>
      <c r="B27" s="14" t="n">
        <v>95</v>
      </c>
      <c r="C27" s="14" t="inlineStr">
        <is>
          <t>Southeast Asian outgroup flying-heads nested WITHIN the Indonesian flying-head radiation — the tree's most striking result</t>
        </is>
      </c>
    </row>
    <row r="29" ht="42" customHeight="1">
      <c r="A29" s="14" t="inlineStr">
        <is>
          <t>Interpretation note: supports and branch lengths above are as supplied in the build brief / .contree file. Weakly supported nodes (&lt;50, 13 of them) mean much of the deep folk-phylogeny is unresolved — treat the tree as a hypothesis about motif sharing, not settled relationships.</t>
        </is>
      </c>
    </row>
  </sheetData>
  <mergeCells count="12">
    <mergeCell ref="B13:C13"/>
    <mergeCell ref="B6:C6"/>
    <mergeCell ref="B15:C15"/>
    <mergeCell ref="B7:C7"/>
    <mergeCell ref="B11:C11"/>
    <mergeCell ref="B10:C10"/>
    <mergeCell ref="B14:C14"/>
    <mergeCell ref="A3:C3"/>
    <mergeCell ref="B9:C9"/>
    <mergeCell ref="B8:C8"/>
    <mergeCell ref="A29:C29"/>
    <mergeCell ref="B12:C1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Compiled from user-supplied matrices, expanded by folklore synthesis</dc:creator>
  <dc:title xmlns:dc="http://purl.org/dc/elements/1.1/">Indonesian Ghosts — Comprehensive Dataset v3</dc:title>
  <dcterms:created xmlns:dcterms="http://purl.org/dc/terms/" xmlns:xsi="http://www.w3.org/2001/XMLSchema-instance" xsi:type="dcterms:W3CDTF">2026-10-20T20:52:25Z</dcterms:created>
  <dcterms:modified xmlns:dcterms="http://purl.org/dc/terms/" xmlns:xsi="http://www.w3.org/2001/XMLSchema-instance" xsi:type="dcterms:W3CDTF">2026-10-20T20:52:26+00:00Z</dcterms:modified>
</cp:coreProperties>
</file>